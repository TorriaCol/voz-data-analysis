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ocuments\Senior Year - College\Research\CalibrationCodes\Torrias2025Calibration\voz-data-analysis\reference_files\"/>
    </mc:Choice>
  </mc:AlternateContent>
  <xr:revisionPtr revIDLastSave="0" documentId="13_ncr:1_{277E5E95-54A2-4517-8D07-97D1CB23D44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esAvailable" sheetId="1" r:id="rId1"/>
    <sheet name="Deployment Da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" l="1"/>
  <c r="H7" i="2"/>
  <c r="H5" i="2"/>
  <c r="H4" i="2"/>
  <c r="H3" i="2"/>
  <c r="N6" i="2"/>
  <c r="N3" i="2"/>
  <c r="N4" i="2"/>
  <c r="N5" i="2"/>
  <c r="N7" i="2"/>
  <c r="N8" i="2"/>
  <c r="N2" i="2"/>
  <c r="I3" i="2"/>
  <c r="J3" i="2" s="1"/>
  <c r="K3" i="2" s="1"/>
  <c r="I4" i="2"/>
  <c r="J4" i="2" s="1"/>
  <c r="K4" i="2" s="1"/>
  <c r="I5" i="2"/>
  <c r="I6" i="2"/>
  <c r="J6" i="2" s="1"/>
  <c r="I7" i="2"/>
  <c r="J7" i="2" s="1"/>
  <c r="K7" i="2" s="1"/>
  <c r="I8" i="2"/>
  <c r="I2" i="2"/>
  <c r="J2" i="2" s="1"/>
  <c r="K2" i="2" s="1"/>
  <c r="H6" i="2"/>
  <c r="H2" i="2"/>
  <c r="P5" i="2"/>
  <c r="O5" i="2"/>
  <c r="M5" i="2"/>
  <c r="E5" i="2"/>
  <c r="D5" i="2"/>
  <c r="B5" i="2"/>
  <c r="M3" i="2"/>
  <c r="M4" i="2"/>
  <c r="M6" i="2"/>
  <c r="M7" i="2"/>
  <c r="M8" i="2"/>
  <c r="M2" i="2"/>
  <c r="F3" i="2"/>
  <c r="F4" i="2"/>
  <c r="F6" i="2"/>
  <c r="F5" i="2" s="1"/>
  <c r="F7" i="2"/>
  <c r="F8" i="2"/>
  <c r="F2" i="2"/>
  <c r="O3" i="2"/>
  <c r="O4" i="2"/>
  <c r="O6" i="2"/>
  <c r="O7" i="2"/>
  <c r="O8" i="2"/>
  <c r="O2" i="2"/>
  <c r="J8" i="2"/>
  <c r="K8" i="2" s="1"/>
  <c r="P3" i="2"/>
  <c r="P4" i="2"/>
  <c r="P6" i="2"/>
  <c r="P7" i="2"/>
  <c r="P8" i="2"/>
  <c r="P2" i="2"/>
  <c r="G8" i="2"/>
  <c r="G7" i="2"/>
  <c r="G6" i="2"/>
  <c r="G4" i="2"/>
  <c r="G3" i="2"/>
  <c r="G2" i="2"/>
  <c r="K6" i="2" l="1"/>
  <c r="K5" i="2" s="1"/>
  <c r="J5" i="2"/>
</calcChain>
</file>

<file path=xl/sharedStrings.xml><?xml version="1.0" encoding="utf-8"?>
<sst xmlns="http://schemas.openxmlformats.org/spreadsheetml/2006/main" count="33" uniqueCount="33">
  <si>
    <t>CutlerOrosi.csv</t>
  </si>
  <si>
    <t>1A_8.csv</t>
  </si>
  <si>
    <t>TerraBella.csv</t>
  </si>
  <si>
    <t>LostHills.csv</t>
  </si>
  <si>
    <t>McFarland.csv</t>
  </si>
  <si>
    <t>Coalinga.csv</t>
  </si>
  <si>
    <t>Legend</t>
  </si>
  <si>
    <t>Pre-Calibration</t>
  </si>
  <si>
    <t>Deployment Dates</t>
  </si>
  <si>
    <t>Post-Calibration</t>
  </si>
  <si>
    <t>sensor_id</t>
  </si>
  <si>
    <t>Pre</t>
  </si>
  <si>
    <t>Deployed</t>
  </si>
  <si>
    <t>Post</t>
  </si>
  <si>
    <t>PostEnd</t>
  </si>
  <si>
    <t>PreNumDays</t>
  </si>
  <si>
    <t>PostNumDays</t>
  </si>
  <si>
    <t>Trial1Start</t>
  </si>
  <si>
    <t>Trial1End</t>
  </si>
  <si>
    <t>Trial2Start</t>
  </si>
  <si>
    <t>Trial2End</t>
  </si>
  <si>
    <t>WithFEM</t>
  </si>
  <si>
    <t>newprestart</t>
  </si>
  <si>
    <t>newpreend</t>
  </si>
  <si>
    <t>newpoststart</t>
  </si>
  <si>
    <t>newpostend</t>
  </si>
  <si>
    <t>Coalinga</t>
  </si>
  <si>
    <t>TerraBella</t>
  </si>
  <si>
    <t>CutlerOrosi</t>
  </si>
  <si>
    <t>LostHills</t>
  </si>
  <si>
    <t>McFarland</t>
  </si>
  <si>
    <t>Avenal</t>
  </si>
  <si>
    <t>Coalinguita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</si>
</sst>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0" fontId="0" fillId="4" borderId="0" xfId="0" applyFill="1"/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7"/>
  <sheetViews>
    <sheetView workbookViewId="0">
      <selection activeCell="B2" sqref="B2"/>
    </sheetView>
  </sheetViews>
  <sheetFormatPr defaultRowHeight="14.4" x14ac:dyDescent="0.3"/>
  <cols>
    <col min="1" max="6" width="18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9" t="s">
        <v>6</v>
      </c>
      <c r="I1" s="10"/>
    </row>
    <row r="2" spans="1:9" x14ac:dyDescent="0.3">
      <c r="A2" s="4">
        <v>45811</v>
      </c>
      <c r="B2" s="4">
        <v>45810</v>
      </c>
      <c r="C2" s="4">
        <v>45810</v>
      </c>
      <c r="D2" s="4">
        <v>45811</v>
      </c>
      <c r="E2" s="4">
        <v>45811</v>
      </c>
      <c r="F2" s="4">
        <v>45820</v>
      </c>
      <c r="H2" s="2"/>
      <c r="I2" t="s">
        <v>7</v>
      </c>
    </row>
    <row r="3" spans="1:9" x14ac:dyDescent="0.3">
      <c r="A3" s="4">
        <v>45812</v>
      </c>
      <c r="B3" s="4">
        <v>45811</v>
      </c>
      <c r="C3" s="4">
        <v>45811</v>
      </c>
      <c r="D3" s="4">
        <v>45812</v>
      </c>
      <c r="E3" s="4">
        <v>45812</v>
      </c>
      <c r="F3" s="4">
        <v>45827</v>
      </c>
      <c r="H3" s="3"/>
      <c r="I3" t="s">
        <v>8</v>
      </c>
    </row>
    <row r="4" spans="1:9" x14ac:dyDescent="0.3">
      <c r="A4" s="4">
        <v>45813</v>
      </c>
      <c r="B4" s="4">
        <v>45812</v>
      </c>
      <c r="C4" s="4">
        <v>45812</v>
      </c>
      <c r="D4" s="4">
        <v>45813</v>
      </c>
      <c r="E4" s="4">
        <v>45813</v>
      </c>
      <c r="F4" s="4">
        <v>45835</v>
      </c>
      <c r="H4" s="7"/>
      <c r="I4" t="s">
        <v>9</v>
      </c>
    </row>
    <row r="5" spans="1:9" x14ac:dyDescent="0.3">
      <c r="A5" s="4">
        <v>45814</v>
      </c>
      <c r="B5" s="4">
        <v>45813</v>
      </c>
      <c r="C5" s="4">
        <v>45813</v>
      </c>
      <c r="D5" s="4">
        <v>45814</v>
      </c>
      <c r="E5" s="4">
        <v>45814</v>
      </c>
      <c r="F5" s="4">
        <v>45836</v>
      </c>
    </row>
    <row r="6" spans="1:9" x14ac:dyDescent="0.3">
      <c r="A6" s="4">
        <v>45815</v>
      </c>
      <c r="B6" s="4">
        <v>45814</v>
      </c>
      <c r="C6" s="4">
        <v>45814</v>
      </c>
      <c r="D6" s="4">
        <v>45815</v>
      </c>
      <c r="E6" s="4">
        <v>45815</v>
      </c>
      <c r="F6" s="4">
        <v>45837</v>
      </c>
    </row>
    <row r="7" spans="1:9" x14ac:dyDescent="0.3">
      <c r="A7" s="4">
        <v>45816</v>
      </c>
      <c r="B7" s="4">
        <v>45815</v>
      </c>
      <c r="C7" s="4">
        <v>45815</v>
      </c>
      <c r="D7" s="4">
        <v>45816</v>
      </c>
      <c r="E7" s="4">
        <v>45816</v>
      </c>
      <c r="F7" s="4">
        <v>45838</v>
      </c>
    </row>
    <row r="8" spans="1:9" x14ac:dyDescent="0.3">
      <c r="A8" s="4">
        <v>45817</v>
      </c>
      <c r="B8" s="4">
        <v>45816</v>
      </c>
      <c r="C8" s="4">
        <v>45816</v>
      </c>
      <c r="D8" s="4">
        <v>45817</v>
      </c>
      <c r="E8" s="4">
        <v>45817</v>
      </c>
      <c r="F8" s="4">
        <v>45839</v>
      </c>
    </row>
    <row r="9" spans="1:9" x14ac:dyDescent="0.3">
      <c r="A9" s="4">
        <v>45818</v>
      </c>
      <c r="B9" s="4">
        <v>45817</v>
      </c>
      <c r="C9" s="4">
        <v>45817</v>
      </c>
      <c r="D9" s="4">
        <v>45818</v>
      </c>
      <c r="E9" s="4">
        <v>45818</v>
      </c>
      <c r="F9" s="4">
        <v>45840</v>
      </c>
    </row>
    <row r="10" spans="1:9" x14ac:dyDescent="0.3">
      <c r="A10" s="4">
        <v>45819</v>
      </c>
      <c r="B10" s="4">
        <v>45818</v>
      </c>
      <c r="C10" s="4">
        <v>45818</v>
      </c>
      <c r="D10" s="4">
        <v>45819</v>
      </c>
      <c r="E10" s="4">
        <v>45819</v>
      </c>
      <c r="F10" s="4">
        <v>45841</v>
      </c>
    </row>
    <row r="11" spans="1:9" x14ac:dyDescent="0.3">
      <c r="A11" s="4">
        <v>45820</v>
      </c>
      <c r="B11" s="4">
        <v>45819</v>
      </c>
      <c r="C11" s="4">
        <v>45819</v>
      </c>
      <c r="D11" s="4">
        <v>45820</v>
      </c>
      <c r="E11" s="4">
        <v>45820</v>
      </c>
      <c r="F11" s="4">
        <v>45842</v>
      </c>
    </row>
    <row r="12" spans="1:9" x14ac:dyDescent="0.3">
      <c r="A12" s="4">
        <v>45821</v>
      </c>
      <c r="B12" s="4">
        <v>45820</v>
      </c>
      <c r="C12" s="4">
        <v>45820</v>
      </c>
      <c r="D12" s="4">
        <v>45821</v>
      </c>
      <c r="E12" s="4">
        <v>45821</v>
      </c>
      <c r="F12" s="4">
        <v>45843</v>
      </c>
    </row>
    <row r="13" spans="1:9" x14ac:dyDescent="0.3">
      <c r="A13" s="4">
        <v>45822</v>
      </c>
      <c r="B13" s="4">
        <v>45821</v>
      </c>
      <c r="C13" s="4">
        <v>45821</v>
      </c>
      <c r="D13" s="4">
        <v>45822</v>
      </c>
      <c r="E13" s="4">
        <v>45822</v>
      </c>
      <c r="F13" s="4">
        <v>45844</v>
      </c>
    </row>
    <row r="14" spans="1:9" x14ac:dyDescent="0.3">
      <c r="A14" s="4">
        <v>45823</v>
      </c>
      <c r="B14" s="4">
        <v>45822</v>
      </c>
      <c r="C14" s="4">
        <v>45822</v>
      </c>
      <c r="D14" s="4">
        <v>45823</v>
      </c>
      <c r="E14" s="4">
        <v>45823</v>
      </c>
      <c r="F14" s="4">
        <v>45845</v>
      </c>
    </row>
    <row r="15" spans="1:9" x14ac:dyDescent="0.3">
      <c r="A15" s="4">
        <v>45824</v>
      </c>
      <c r="B15" s="4">
        <v>45823</v>
      </c>
      <c r="C15" s="4">
        <v>45823</v>
      </c>
      <c r="D15" s="4">
        <v>45824</v>
      </c>
      <c r="E15" s="4">
        <v>45824</v>
      </c>
      <c r="F15" s="4">
        <v>45846</v>
      </c>
    </row>
    <row r="16" spans="1:9" x14ac:dyDescent="0.3">
      <c r="A16" s="4">
        <v>45825</v>
      </c>
      <c r="B16" s="4">
        <v>45824</v>
      </c>
      <c r="C16" s="4">
        <v>45824</v>
      </c>
      <c r="D16" s="4">
        <v>45825</v>
      </c>
      <c r="E16" s="4">
        <v>45825</v>
      </c>
      <c r="F16" s="4">
        <v>45847</v>
      </c>
    </row>
    <row r="17" spans="1:6" x14ac:dyDescent="0.3">
      <c r="A17" s="4">
        <v>45826</v>
      </c>
      <c r="B17" s="4">
        <v>45825</v>
      </c>
      <c r="C17" s="4">
        <v>45825</v>
      </c>
      <c r="D17" s="4">
        <v>45826</v>
      </c>
      <c r="E17" s="4">
        <v>45826</v>
      </c>
      <c r="F17" s="4">
        <v>45848</v>
      </c>
    </row>
    <row r="18" spans="1:6" x14ac:dyDescent="0.3">
      <c r="A18" s="4">
        <v>45827</v>
      </c>
      <c r="B18" s="4">
        <v>45826</v>
      </c>
      <c r="C18" s="4">
        <v>45826</v>
      </c>
      <c r="D18" s="4">
        <v>45827</v>
      </c>
      <c r="E18" s="4">
        <v>45827</v>
      </c>
      <c r="F18" s="4">
        <v>45849</v>
      </c>
    </row>
    <row r="19" spans="1:6" x14ac:dyDescent="0.3">
      <c r="A19" s="4">
        <v>45828</v>
      </c>
      <c r="B19" s="4">
        <v>45827</v>
      </c>
      <c r="C19" s="4">
        <v>45827</v>
      </c>
      <c r="D19" s="4">
        <v>45828</v>
      </c>
      <c r="E19" s="4">
        <v>45828</v>
      </c>
      <c r="F19" s="4">
        <v>45850</v>
      </c>
    </row>
    <row r="20" spans="1:6" x14ac:dyDescent="0.3">
      <c r="A20" s="4">
        <v>45829</v>
      </c>
      <c r="B20" s="4">
        <v>45828</v>
      </c>
      <c r="C20" s="4">
        <v>45828</v>
      </c>
      <c r="D20" s="4">
        <v>45829</v>
      </c>
      <c r="E20" s="4">
        <v>45829</v>
      </c>
      <c r="F20" s="4">
        <v>45851</v>
      </c>
    </row>
    <row r="21" spans="1:6" x14ac:dyDescent="0.3">
      <c r="A21" s="4">
        <v>45830</v>
      </c>
      <c r="B21" s="4">
        <v>45829</v>
      </c>
      <c r="C21" s="4">
        <v>45829</v>
      </c>
      <c r="D21" s="4">
        <v>45830</v>
      </c>
      <c r="E21" s="4">
        <v>45830</v>
      </c>
      <c r="F21" s="4">
        <v>45852</v>
      </c>
    </row>
    <row r="22" spans="1:6" x14ac:dyDescent="0.3">
      <c r="A22" s="4">
        <v>45831</v>
      </c>
      <c r="B22" s="4">
        <v>45830</v>
      </c>
      <c r="C22" s="4">
        <v>45830</v>
      </c>
      <c r="D22" s="4">
        <v>45831</v>
      </c>
      <c r="E22" s="4">
        <v>45831</v>
      </c>
      <c r="F22" s="4">
        <v>45853</v>
      </c>
    </row>
    <row r="23" spans="1:6" x14ac:dyDescent="0.3">
      <c r="A23" s="4">
        <v>45832</v>
      </c>
      <c r="B23" s="4">
        <v>45831</v>
      </c>
      <c r="C23" s="4">
        <v>45831</v>
      </c>
      <c r="D23" s="4">
        <v>45832</v>
      </c>
      <c r="E23" s="4">
        <v>45832</v>
      </c>
      <c r="F23" s="4">
        <v>45854</v>
      </c>
    </row>
    <row r="24" spans="1:6" x14ac:dyDescent="0.3">
      <c r="A24" s="4">
        <v>45833</v>
      </c>
      <c r="B24" s="4">
        <v>45832</v>
      </c>
      <c r="C24" s="4">
        <v>45832</v>
      </c>
      <c r="D24" s="4">
        <v>45833</v>
      </c>
      <c r="E24" s="4">
        <v>45833</v>
      </c>
      <c r="F24" s="4">
        <v>45855</v>
      </c>
    </row>
    <row r="25" spans="1:6" x14ac:dyDescent="0.3">
      <c r="A25" s="4">
        <v>45834</v>
      </c>
      <c r="B25" s="4">
        <v>45833</v>
      </c>
      <c r="C25" s="4">
        <v>45833</v>
      </c>
      <c r="D25" s="4">
        <v>45834</v>
      </c>
      <c r="E25" s="4">
        <v>45834</v>
      </c>
      <c r="F25" s="4">
        <v>45856</v>
      </c>
    </row>
    <row r="26" spans="1:6" x14ac:dyDescent="0.3">
      <c r="A26" s="4">
        <v>45835</v>
      </c>
      <c r="B26" s="4">
        <v>45834</v>
      </c>
      <c r="C26" s="4">
        <v>45834</v>
      </c>
      <c r="D26" s="4">
        <v>45835</v>
      </c>
      <c r="E26" s="4">
        <v>45835</v>
      </c>
      <c r="F26" s="4">
        <v>45857</v>
      </c>
    </row>
    <row r="27" spans="1:6" x14ac:dyDescent="0.3">
      <c r="A27" s="4">
        <v>45836</v>
      </c>
      <c r="B27" s="4">
        <v>45835</v>
      </c>
      <c r="C27" s="4">
        <v>45835</v>
      </c>
      <c r="D27" s="4">
        <v>45836</v>
      </c>
      <c r="E27" s="4">
        <v>45836</v>
      </c>
      <c r="F27" s="4">
        <v>45858</v>
      </c>
    </row>
    <row r="28" spans="1:6" x14ac:dyDescent="0.3">
      <c r="A28" s="4">
        <v>45837</v>
      </c>
      <c r="B28" s="4">
        <v>45836</v>
      </c>
      <c r="C28" s="4">
        <v>45836</v>
      </c>
      <c r="D28" s="4">
        <v>45837</v>
      </c>
      <c r="E28" s="4">
        <v>45837</v>
      </c>
      <c r="F28" s="4">
        <v>45859</v>
      </c>
    </row>
    <row r="29" spans="1:6" x14ac:dyDescent="0.3">
      <c r="A29" s="4">
        <v>45838</v>
      </c>
      <c r="B29" s="4">
        <v>45837</v>
      </c>
      <c r="C29" s="4">
        <v>45837</v>
      </c>
      <c r="D29" s="4">
        <v>45838</v>
      </c>
      <c r="E29" s="4">
        <v>45838</v>
      </c>
      <c r="F29" s="4">
        <v>45860</v>
      </c>
    </row>
    <row r="30" spans="1:6" x14ac:dyDescent="0.3">
      <c r="A30" s="4">
        <v>45839</v>
      </c>
      <c r="B30" s="4">
        <v>45838</v>
      </c>
      <c r="C30" s="4">
        <v>45838</v>
      </c>
      <c r="D30" s="4">
        <v>45839</v>
      </c>
      <c r="E30" s="4">
        <v>45839</v>
      </c>
      <c r="F30" s="4">
        <v>45861</v>
      </c>
    </row>
    <row r="31" spans="1:6" x14ac:dyDescent="0.3">
      <c r="A31" s="4">
        <v>45840</v>
      </c>
      <c r="B31" s="4">
        <v>45839</v>
      </c>
      <c r="C31" s="4">
        <v>45839</v>
      </c>
      <c r="D31" s="4">
        <v>45840</v>
      </c>
      <c r="E31" s="4">
        <v>45840</v>
      </c>
      <c r="F31" s="4">
        <v>45862</v>
      </c>
    </row>
    <row r="32" spans="1:6" x14ac:dyDescent="0.3">
      <c r="A32" s="4">
        <v>45841</v>
      </c>
      <c r="B32" s="4">
        <v>45840</v>
      </c>
      <c r="C32" s="4">
        <v>45840</v>
      </c>
      <c r="D32" s="4">
        <v>45841</v>
      </c>
      <c r="E32" s="4">
        <v>45841</v>
      </c>
      <c r="F32" s="5">
        <v>45866</v>
      </c>
    </row>
    <row r="33" spans="1:6" x14ac:dyDescent="0.3">
      <c r="A33" s="4">
        <v>45842</v>
      </c>
      <c r="B33" s="4">
        <v>45841</v>
      </c>
      <c r="C33" s="4">
        <v>45841</v>
      </c>
      <c r="D33" s="4">
        <v>45842</v>
      </c>
      <c r="E33" s="4">
        <v>45842</v>
      </c>
      <c r="F33" s="5">
        <v>45867</v>
      </c>
    </row>
    <row r="34" spans="1:6" x14ac:dyDescent="0.3">
      <c r="A34" s="4">
        <v>45843</v>
      </c>
      <c r="B34" s="4">
        <v>45842</v>
      </c>
      <c r="C34" s="4">
        <v>45842</v>
      </c>
      <c r="D34" s="4">
        <v>45843</v>
      </c>
      <c r="E34" s="4">
        <v>45843</v>
      </c>
      <c r="F34" s="5">
        <v>45868</v>
      </c>
    </row>
    <row r="35" spans="1:6" x14ac:dyDescent="0.3">
      <c r="A35" s="4">
        <v>45844</v>
      </c>
      <c r="B35" s="4">
        <v>45843</v>
      </c>
      <c r="C35" s="4">
        <v>45843</v>
      </c>
      <c r="D35" s="4">
        <v>45844</v>
      </c>
      <c r="E35" s="4">
        <v>45844</v>
      </c>
      <c r="F35" s="5">
        <v>45869</v>
      </c>
    </row>
    <row r="36" spans="1:6" x14ac:dyDescent="0.3">
      <c r="A36" s="4">
        <v>45845</v>
      </c>
      <c r="B36" s="4">
        <v>45844</v>
      </c>
      <c r="C36" s="4">
        <v>45844</v>
      </c>
      <c r="D36" s="4">
        <v>45845</v>
      </c>
      <c r="E36" s="4">
        <v>45845</v>
      </c>
      <c r="F36" s="5">
        <v>45870</v>
      </c>
    </row>
    <row r="37" spans="1:6" x14ac:dyDescent="0.3">
      <c r="A37" s="4">
        <v>45846</v>
      </c>
      <c r="B37" s="4">
        <v>45845</v>
      </c>
      <c r="C37" s="4">
        <v>45845</v>
      </c>
      <c r="D37" s="4">
        <v>45846</v>
      </c>
      <c r="E37" s="4">
        <v>45846</v>
      </c>
      <c r="F37" s="5">
        <v>45871</v>
      </c>
    </row>
    <row r="38" spans="1:6" x14ac:dyDescent="0.3">
      <c r="A38" s="4">
        <v>45847</v>
      </c>
      <c r="B38" s="4">
        <v>45846</v>
      </c>
      <c r="C38" s="4">
        <v>45846</v>
      </c>
      <c r="D38" s="4">
        <v>45847</v>
      </c>
      <c r="E38" s="4">
        <v>45847</v>
      </c>
      <c r="F38" s="5">
        <v>45872</v>
      </c>
    </row>
    <row r="39" spans="1:6" x14ac:dyDescent="0.3">
      <c r="A39" s="5">
        <v>45848</v>
      </c>
      <c r="B39" s="4">
        <v>45847</v>
      </c>
      <c r="C39" s="4">
        <v>45847</v>
      </c>
      <c r="D39" s="4">
        <v>45848</v>
      </c>
      <c r="E39" s="4">
        <v>45848</v>
      </c>
      <c r="F39" s="5">
        <v>45873</v>
      </c>
    </row>
    <row r="40" spans="1:6" x14ac:dyDescent="0.3">
      <c r="A40" s="5">
        <v>45849</v>
      </c>
      <c r="B40" s="4">
        <v>45848</v>
      </c>
      <c r="C40" s="5">
        <v>45848</v>
      </c>
      <c r="D40" s="5">
        <v>45849</v>
      </c>
      <c r="E40" s="5">
        <v>45849</v>
      </c>
      <c r="F40" s="5">
        <v>45874</v>
      </c>
    </row>
    <row r="41" spans="1:6" x14ac:dyDescent="0.3">
      <c r="A41" s="5">
        <v>45850</v>
      </c>
      <c r="B41" s="5">
        <v>45849</v>
      </c>
      <c r="C41" s="5">
        <v>45849</v>
      </c>
      <c r="D41" s="5">
        <v>45850</v>
      </c>
      <c r="E41" s="5">
        <v>45850</v>
      </c>
      <c r="F41" s="5">
        <v>45875</v>
      </c>
    </row>
    <row r="42" spans="1:6" x14ac:dyDescent="0.3">
      <c r="A42" s="5">
        <v>45851</v>
      </c>
      <c r="B42" s="5">
        <v>45850</v>
      </c>
      <c r="C42" s="5">
        <v>45850</v>
      </c>
      <c r="D42" s="5">
        <v>45851</v>
      </c>
      <c r="E42" s="5">
        <v>45851</v>
      </c>
      <c r="F42" s="5">
        <v>45876</v>
      </c>
    </row>
    <row r="43" spans="1:6" x14ac:dyDescent="0.3">
      <c r="A43" s="5">
        <v>45852</v>
      </c>
      <c r="B43" s="5">
        <v>45851</v>
      </c>
      <c r="C43" s="5">
        <v>45851</v>
      </c>
      <c r="D43" s="5">
        <v>45852</v>
      </c>
      <c r="E43" s="5">
        <v>45852</v>
      </c>
      <c r="F43" s="5">
        <v>45877</v>
      </c>
    </row>
    <row r="44" spans="1:6" x14ac:dyDescent="0.3">
      <c r="A44" s="5">
        <v>45853</v>
      </c>
      <c r="B44" s="5">
        <v>45852</v>
      </c>
      <c r="C44" s="5">
        <v>45852</v>
      </c>
      <c r="D44" s="5">
        <v>45853</v>
      </c>
      <c r="E44" s="5">
        <v>45853</v>
      </c>
      <c r="F44" s="5">
        <v>45878</v>
      </c>
    </row>
    <row r="45" spans="1:6" x14ac:dyDescent="0.3">
      <c r="A45" s="5">
        <v>45854</v>
      </c>
      <c r="B45" s="5">
        <v>45853</v>
      </c>
      <c r="C45" s="5">
        <v>45853</v>
      </c>
      <c r="D45" s="5">
        <v>45854</v>
      </c>
      <c r="E45" s="5">
        <v>45854</v>
      </c>
      <c r="F45" s="5">
        <v>45879</v>
      </c>
    </row>
    <row r="46" spans="1:6" x14ac:dyDescent="0.3">
      <c r="A46" s="5">
        <v>45855</v>
      </c>
      <c r="B46" s="5">
        <v>45854</v>
      </c>
      <c r="C46" s="5">
        <v>45854</v>
      </c>
      <c r="D46" s="5">
        <v>45855</v>
      </c>
      <c r="E46" s="5">
        <v>45855</v>
      </c>
      <c r="F46" s="5">
        <v>45880</v>
      </c>
    </row>
    <row r="47" spans="1:6" x14ac:dyDescent="0.3">
      <c r="A47" s="5">
        <v>45856</v>
      </c>
      <c r="B47" s="5">
        <v>45855</v>
      </c>
      <c r="C47" s="5">
        <v>45855</v>
      </c>
      <c r="D47" s="5">
        <v>45856</v>
      </c>
      <c r="E47" s="5">
        <v>45856</v>
      </c>
      <c r="F47" s="5">
        <v>45881</v>
      </c>
    </row>
    <row r="48" spans="1:6" x14ac:dyDescent="0.3">
      <c r="A48" s="5">
        <v>45857</v>
      </c>
      <c r="B48" s="5">
        <v>45856</v>
      </c>
      <c r="C48" s="5">
        <v>45856</v>
      </c>
      <c r="D48" s="5">
        <v>45857</v>
      </c>
      <c r="E48" s="5">
        <v>45857</v>
      </c>
      <c r="F48" s="5">
        <v>45882</v>
      </c>
    </row>
    <row r="49" spans="1:6" x14ac:dyDescent="0.3">
      <c r="A49" s="5">
        <v>45858</v>
      </c>
      <c r="B49" s="5">
        <v>45857</v>
      </c>
      <c r="C49" s="5">
        <v>45857</v>
      </c>
      <c r="D49" s="5">
        <v>45858</v>
      </c>
      <c r="E49" s="5">
        <v>45858</v>
      </c>
      <c r="F49" s="5">
        <v>45883</v>
      </c>
    </row>
    <row r="50" spans="1:6" x14ac:dyDescent="0.3">
      <c r="A50" s="5">
        <v>45859</v>
      </c>
      <c r="B50" s="5">
        <v>45858</v>
      </c>
      <c r="C50" s="5">
        <v>45858</v>
      </c>
      <c r="D50" s="5">
        <v>45859</v>
      </c>
      <c r="E50" s="5">
        <v>45859</v>
      </c>
      <c r="F50" s="5">
        <v>45884</v>
      </c>
    </row>
    <row r="51" spans="1:6" x14ac:dyDescent="0.3">
      <c r="A51" s="5">
        <v>45860</v>
      </c>
      <c r="B51" s="5">
        <v>45859</v>
      </c>
      <c r="C51" s="5">
        <v>45859</v>
      </c>
      <c r="D51" s="5">
        <v>45860</v>
      </c>
      <c r="E51" s="5">
        <v>45860</v>
      </c>
      <c r="F51" s="5">
        <v>45885</v>
      </c>
    </row>
    <row r="52" spans="1:6" x14ac:dyDescent="0.3">
      <c r="A52" s="5">
        <v>45861</v>
      </c>
      <c r="B52" s="5">
        <v>45860</v>
      </c>
      <c r="C52" s="5">
        <v>45860</v>
      </c>
      <c r="D52" s="5">
        <v>45861</v>
      </c>
      <c r="E52" s="5">
        <v>45861</v>
      </c>
      <c r="F52" s="5">
        <v>45886</v>
      </c>
    </row>
    <row r="53" spans="1:6" x14ac:dyDescent="0.3">
      <c r="A53" s="5">
        <v>45862</v>
      </c>
      <c r="B53" s="5">
        <v>45861</v>
      </c>
      <c r="C53" s="5">
        <v>45861</v>
      </c>
      <c r="D53" s="5">
        <v>45862</v>
      </c>
      <c r="E53" s="5">
        <v>45862</v>
      </c>
      <c r="F53" s="5">
        <v>45887</v>
      </c>
    </row>
    <row r="54" spans="1:6" x14ac:dyDescent="0.3">
      <c r="A54" s="5">
        <v>45863</v>
      </c>
      <c r="B54" s="5">
        <v>45862</v>
      </c>
      <c r="C54" s="5">
        <v>45862</v>
      </c>
      <c r="D54" s="5">
        <v>45863</v>
      </c>
      <c r="E54" s="5">
        <v>45863</v>
      </c>
      <c r="F54" s="5">
        <v>45888</v>
      </c>
    </row>
    <row r="55" spans="1:6" x14ac:dyDescent="0.3">
      <c r="A55" s="5">
        <v>45864</v>
      </c>
      <c r="B55" s="5">
        <v>45863</v>
      </c>
      <c r="C55" s="5">
        <v>45863</v>
      </c>
      <c r="D55" s="5">
        <v>45864</v>
      </c>
      <c r="E55" s="5">
        <v>45864</v>
      </c>
      <c r="F55" s="5">
        <v>45889</v>
      </c>
    </row>
    <row r="56" spans="1:6" x14ac:dyDescent="0.3">
      <c r="A56" s="5">
        <v>45865</v>
      </c>
      <c r="B56" s="5">
        <v>45864</v>
      </c>
      <c r="C56" s="5">
        <v>45864</v>
      </c>
      <c r="D56" s="5">
        <v>45865</v>
      </c>
      <c r="E56" s="5">
        <v>45865</v>
      </c>
      <c r="F56" s="5">
        <v>45890</v>
      </c>
    </row>
    <row r="57" spans="1:6" x14ac:dyDescent="0.3">
      <c r="A57" s="5">
        <v>45866</v>
      </c>
      <c r="B57" s="5">
        <v>45865</v>
      </c>
      <c r="C57" s="5">
        <v>45865</v>
      </c>
      <c r="D57" s="5">
        <v>45866</v>
      </c>
      <c r="E57" s="5">
        <v>45866</v>
      </c>
      <c r="F57" s="5">
        <v>45891</v>
      </c>
    </row>
    <row r="58" spans="1:6" x14ac:dyDescent="0.3">
      <c r="A58" s="5">
        <v>45867</v>
      </c>
      <c r="B58" s="5">
        <v>45866</v>
      </c>
      <c r="C58" s="5">
        <v>45866</v>
      </c>
      <c r="D58" s="5">
        <v>45867</v>
      </c>
      <c r="E58" s="5">
        <v>45867</v>
      </c>
      <c r="F58" s="5">
        <v>45892</v>
      </c>
    </row>
    <row r="59" spans="1:6" x14ac:dyDescent="0.3">
      <c r="A59" s="5">
        <v>45868</v>
      </c>
      <c r="B59" s="5">
        <v>45867</v>
      </c>
      <c r="C59" s="5">
        <v>45867</v>
      </c>
      <c r="D59" s="5">
        <v>45868</v>
      </c>
      <c r="E59" s="5">
        <v>45868</v>
      </c>
      <c r="F59" s="5">
        <v>45893</v>
      </c>
    </row>
    <row r="60" spans="1:6" x14ac:dyDescent="0.3">
      <c r="A60" s="5">
        <v>45869</v>
      </c>
      <c r="B60" s="5">
        <v>45868</v>
      </c>
      <c r="C60" s="5">
        <v>45868</v>
      </c>
      <c r="D60" s="5">
        <v>45869</v>
      </c>
      <c r="E60" s="5">
        <v>45869</v>
      </c>
      <c r="F60" s="5">
        <v>45894</v>
      </c>
    </row>
    <row r="61" spans="1:6" x14ac:dyDescent="0.3">
      <c r="A61" s="5">
        <v>45870</v>
      </c>
      <c r="B61" s="5">
        <v>45869</v>
      </c>
      <c r="C61" s="5">
        <v>45869</v>
      </c>
      <c r="D61" s="5">
        <v>45870</v>
      </c>
      <c r="E61" s="5">
        <v>45870</v>
      </c>
      <c r="F61" s="5">
        <v>45895</v>
      </c>
    </row>
    <row r="62" spans="1:6" x14ac:dyDescent="0.3">
      <c r="A62" s="5">
        <v>45871</v>
      </c>
      <c r="B62" s="5">
        <v>45870</v>
      </c>
      <c r="C62" s="5">
        <v>45870</v>
      </c>
      <c r="D62" s="5">
        <v>45871</v>
      </c>
      <c r="E62" s="5">
        <v>45871</v>
      </c>
      <c r="F62" s="5">
        <v>45896</v>
      </c>
    </row>
    <row r="63" spans="1:6" x14ac:dyDescent="0.3">
      <c r="A63" s="5">
        <v>45872</v>
      </c>
      <c r="B63" s="5">
        <v>45871</v>
      </c>
      <c r="C63" s="5">
        <v>45871</v>
      </c>
      <c r="D63" s="5">
        <v>45872</v>
      </c>
      <c r="E63" s="5">
        <v>45872</v>
      </c>
      <c r="F63" s="5">
        <v>45897</v>
      </c>
    </row>
    <row r="64" spans="1:6" x14ac:dyDescent="0.3">
      <c r="A64" s="5">
        <v>45873</v>
      </c>
      <c r="B64" s="5">
        <v>45872</v>
      </c>
      <c r="C64" s="5">
        <v>45872</v>
      </c>
      <c r="D64" s="5">
        <v>45873</v>
      </c>
      <c r="E64" s="5">
        <v>45873</v>
      </c>
      <c r="F64" s="5">
        <v>45898</v>
      </c>
    </row>
    <row r="65" spans="1:6" x14ac:dyDescent="0.3">
      <c r="A65" s="5">
        <v>45874</v>
      </c>
      <c r="B65" s="5">
        <v>45873</v>
      </c>
      <c r="C65" s="5">
        <v>45873</v>
      </c>
      <c r="D65" s="5">
        <v>45874</v>
      </c>
      <c r="E65" s="5">
        <v>45874</v>
      </c>
      <c r="F65" s="5">
        <v>45899</v>
      </c>
    </row>
    <row r="66" spans="1:6" x14ac:dyDescent="0.3">
      <c r="A66" s="5">
        <v>45875</v>
      </c>
      <c r="B66" s="5">
        <v>45874</v>
      </c>
      <c r="C66" s="5">
        <v>45874</v>
      </c>
      <c r="D66" s="5">
        <v>45875</v>
      </c>
      <c r="E66" s="5">
        <v>45875</v>
      </c>
      <c r="F66" s="5">
        <v>45900</v>
      </c>
    </row>
    <row r="67" spans="1:6" x14ac:dyDescent="0.3">
      <c r="A67" s="5">
        <v>45876</v>
      </c>
      <c r="B67" s="5">
        <v>45875</v>
      </c>
      <c r="C67" s="5">
        <v>45875</v>
      </c>
      <c r="D67" s="5">
        <v>45876</v>
      </c>
      <c r="E67" s="5">
        <v>45876</v>
      </c>
      <c r="F67" s="5">
        <v>45901</v>
      </c>
    </row>
    <row r="68" spans="1:6" x14ac:dyDescent="0.3">
      <c r="A68" s="5">
        <v>45877</v>
      </c>
      <c r="B68" s="5">
        <v>45876</v>
      </c>
      <c r="C68" s="5">
        <v>45876</v>
      </c>
      <c r="D68" s="5">
        <v>45877</v>
      </c>
      <c r="E68" s="5">
        <v>45877</v>
      </c>
      <c r="F68" s="5">
        <v>45902</v>
      </c>
    </row>
    <row r="69" spans="1:6" x14ac:dyDescent="0.3">
      <c r="A69" s="5">
        <v>45878</v>
      </c>
      <c r="B69" s="5">
        <v>45877</v>
      </c>
      <c r="C69" s="5">
        <v>45877</v>
      </c>
      <c r="D69" s="5">
        <v>45878</v>
      </c>
      <c r="E69" s="5">
        <v>45878</v>
      </c>
      <c r="F69" s="5">
        <v>45903</v>
      </c>
    </row>
    <row r="70" spans="1:6" x14ac:dyDescent="0.3">
      <c r="A70" s="5">
        <v>45879</v>
      </c>
      <c r="B70" s="5">
        <v>45878</v>
      </c>
      <c r="C70" s="5">
        <v>45878</v>
      </c>
      <c r="D70" s="5">
        <v>45879</v>
      </c>
      <c r="E70" s="5">
        <v>45879</v>
      </c>
      <c r="F70" s="5">
        <v>45904</v>
      </c>
    </row>
    <row r="71" spans="1:6" x14ac:dyDescent="0.3">
      <c r="A71" s="5">
        <v>45880</v>
      </c>
      <c r="B71" s="5">
        <v>45879</v>
      </c>
      <c r="C71" s="5">
        <v>45879</v>
      </c>
      <c r="D71" s="5">
        <v>45880</v>
      </c>
      <c r="E71" s="5">
        <v>45880</v>
      </c>
      <c r="F71" s="5">
        <v>45905</v>
      </c>
    </row>
    <row r="72" spans="1:6" x14ac:dyDescent="0.3">
      <c r="A72" s="5">
        <v>45881</v>
      </c>
      <c r="B72" s="5">
        <v>45880</v>
      </c>
      <c r="C72" s="5">
        <v>45880</v>
      </c>
      <c r="D72" s="5">
        <v>45881</v>
      </c>
      <c r="E72" s="5">
        <v>45881</v>
      </c>
      <c r="F72" s="5">
        <v>45906</v>
      </c>
    </row>
    <row r="73" spans="1:6" x14ac:dyDescent="0.3">
      <c r="A73" s="5">
        <v>45882</v>
      </c>
      <c r="B73" s="5">
        <v>45881</v>
      </c>
      <c r="C73" s="5">
        <v>45881</v>
      </c>
      <c r="D73" s="5">
        <v>45882</v>
      </c>
      <c r="E73" s="5">
        <v>45882</v>
      </c>
      <c r="F73" s="5">
        <v>45907</v>
      </c>
    </row>
    <row r="74" spans="1:6" x14ac:dyDescent="0.3">
      <c r="A74" s="5">
        <v>45883</v>
      </c>
      <c r="B74" s="5">
        <v>45882</v>
      </c>
      <c r="C74" s="5">
        <v>45882</v>
      </c>
      <c r="D74" s="5">
        <v>45883</v>
      </c>
      <c r="E74" s="5">
        <v>45883</v>
      </c>
      <c r="F74" s="5">
        <v>45908</v>
      </c>
    </row>
    <row r="75" spans="1:6" x14ac:dyDescent="0.3">
      <c r="A75" s="5">
        <v>45884</v>
      </c>
      <c r="B75" s="5">
        <v>45883</v>
      </c>
      <c r="C75" s="5">
        <v>45883</v>
      </c>
      <c r="D75" s="5">
        <v>45884</v>
      </c>
      <c r="E75" s="5">
        <v>45884</v>
      </c>
      <c r="F75" s="5">
        <v>45909</v>
      </c>
    </row>
    <row r="76" spans="1:6" x14ac:dyDescent="0.3">
      <c r="A76" s="5">
        <v>45885</v>
      </c>
      <c r="B76" s="5">
        <v>45884</v>
      </c>
      <c r="C76" s="5">
        <v>45884</v>
      </c>
      <c r="D76" s="5">
        <v>45885</v>
      </c>
      <c r="E76" s="5">
        <v>45885</v>
      </c>
      <c r="F76" s="5">
        <v>45910</v>
      </c>
    </row>
    <row r="77" spans="1:6" x14ac:dyDescent="0.3">
      <c r="A77" s="5">
        <v>45886</v>
      </c>
      <c r="B77" s="5">
        <v>45885</v>
      </c>
      <c r="C77" s="5">
        <v>45885</v>
      </c>
      <c r="D77" s="5">
        <v>45886</v>
      </c>
      <c r="E77" s="5">
        <v>45886</v>
      </c>
      <c r="F77" s="5">
        <v>45911</v>
      </c>
    </row>
    <row r="78" spans="1:6" x14ac:dyDescent="0.3">
      <c r="A78" s="5">
        <v>45887</v>
      </c>
      <c r="B78" s="5">
        <v>45886</v>
      </c>
      <c r="C78" s="5">
        <v>45886</v>
      </c>
      <c r="D78" s="5">
        <v>45887</v>
      </c>
      <c r="E78" s="5">
        <v>45887</v>
      </c>
      <c r="F78" s="5">
        <v>45912</v>
      </c>
    </row>
    <row r="79" spans="1:6" x14ac:dyDescent="0.3">
      <c r="A79" s="5">
        <v>45888</v>
      </c>
      <c r="B79" s="5">
        <v>45887</v>
      </c>
      <c r="C79" s="5">
        <v>45887</v>
      </c>
      <c r="D79" s="5">
        <v>45888</v>
      </c>
      <c r="E79" s="5">
        <v>45888</v>
      </c>
      <c r="F79" s="5">
        <v>45913</v>
      </c>
    </row>
    <row r="80" spans="1:6" x14ac:dyDescent="0.3">
      <c r="A80" s="5">
        <v>45889</v>
      </c>
      <c r="B80" s="5">
        <v>45888</v>
      </c>
      <c r="C80" s="5">
        <v>45888</v>
      </c>
      <c r="D80" s="5">
        <v>45889</v>
      </c>
      <c r="E80" s="5">
        <v>45889</v>
      </c>
      <c r="F80" s="5">
        <v>45914</v>
      </c>
    </row>
    <row r="81" spans="1:6" x14ac:dyDescent="0.3">
      <c r="A81" s="5">
        <v>45890</v>
      </c>
      <c r="B81" s="5">
        <v>45889</v>
      </c>
      <c r="C81" s="5">
        <v>45889</v>
      </c>
      <c r="D81" s="5">
        <v>45890</v>
      </c>
      <c r="E81" s="5">
        <v>45890</v>
      </c>
      <c r="F81" s="5">
        <v>45915</v>
      </c>
    </row>
    <row r="82" spans="1:6" x14ac:dyDescent="0.3">
      <c r="A82" s="5">
        <v>45891</v>
      </c>
      <c r="B82" s="5">
        <v>45890</v>
      </c>
      <c r="C82" s="5">
        <v>45890</v>
      </c>
      <c r="D82" s="5">
        <v>45891</v>
      </c>
      <c r="E82" s="5">
        <v>45891</v>
      </c>
      <c r="F82" s="5">
        <v>45916</v>
      </c>
    </row>
    <row r="83" spans="1:6" x14ac:dyDescent="0.3">
      <c r="A83" s="5">
        <v>45892</v>
      </c>
      <c r="B83" s="5">
        <v>45891</v>
      </c>
      <c r="C83" s="5">
        <v>45891</v>
      </c>
      <c r="D83" s="5">
        <v>45892</v>
      </c>
      <c r="E83" s="5">
        <v>45892</v>
      </c>
      <c r="F83" s="5">
        <v>45917</v>
      </c>
    </row>
    <row r="84" spans="1:6" x14ac:dyDescent="0.3">
      <c r="A84" s="5">
        <v>45893</v>
      </c>
      <c r="B84" s="5">
        <v>45892</v>
      </c>
      <c r="C84" s="5">
        <v>45892</v>
      </c>
      <c r="D84" s="5">
        <v>45893</v>
      </c>
      <c r="E84" s="5">
        <v>45893</v>
      </c>
      <c r="F84" s="5">
        <v>45918</v>
      </c>
    </row>
    <row r="85" spans="1:6" x14ac:dyDescent="0.3">
      <c r="A85" s="5">
        <v>45894</v>
      </c>
      <c r="B85" s="5">
        <v>45893</v>
      </c>
      <c r="C85" s="5">
        <v>45893</v>
      </c>
      <c r="D85" s="5">
        <v>45894</v>
      </c>
      <c r="E85" s="5">
        <v>45894</v>
      </c>
      <c r="F85" s="5">
        <v>45919</v>
      </c>
    </row>
    <row r="86" spans="1:6" x14ac:dyDescent="0.3">
      <c r="A86" s="5">
        <v>45895</v>
      </c>
      <c r="B86" s="5">
        <v>45894</v>
      </c>
      <c r="C86" s="5">
        <v>45894</v>
      </c>
      <c r="D86" s="5">
        <v>45895</v>
      </c>
      <c r="E86" s="5">
        <v>45895</v>
      </c>
      <c r="F86" s="5">
        <v>45920</v>
      </c>
    </row>
    <row r="87" spans="1:6" x14ac:dyDescent="0.3">
      <c r="A87" s="5">
        <v>45896</v>
      </c>
      <c r="B87" s="5">
        <v>45895</v>
      </c>
      <c r="C87" s="5">
        <v>45895</v>
      </c>
      <c r="D87" s="5">
        <v>45896</v>
      </c>
      <c r="E87" s="5">
        <v>45896</v>
      </c>
      <c r="F87" s="5">
        <v>45921</v>
      </c>
    </row>
    <row r="88" spans="1:6" x14ac:dyDescent="0.3">
      <c r="A88" s="5">
        <v>45897</v>
      </c>
      <c r="B88" s="5">
        <v>45896</v>
      </c>
      <c r="C88" s="5">
        <v>45896</v>
      </c>
      <c r="D88" s="5">
        <v>45897</v>
      </c>
      <c r="E88" s="5">
        <v>45897</v>
      </c>
      <c r="F88" s="5">
        <v>45922</v>
      </c>
    </row>
    <row r="89" spans="1:6" x14ac:dyDescent="0.3">
      <c r="A89" s="5">
        <v>45898</v>
      </c>
      <c r="B89" s="5">
        <v>45897</v>
      </c>
      <c r="C89" s="5">
        <v>45897</v>
      </c>
      <c r="D89" s="5">
        <v>45898</v>
      </c>
      <c r="E89" s="5">
        <v>45898</v>
      </c>
      <c r="F89" s="5">
        <v>45923</v>
      </c>
    </row>
    <row r="90" spans="1:6" x14ac:dyDescent="0.3">
      <c r="A90" s="5">
        <v>45899</v>
      </c>
      <c r="B90" s="5">
        <v>45898</v>
      </c>
      <c r="C90" s="5">
        <v>45898</v>
      </c>
      <c r="D90" s="5">
        <v>45899</v>
      </c>
      <c r="E90" s="5">
        <v>45899</v>
      </c>
      <c r="F90" s="5">
        <v>45924</v>
      </c>
    </row>
    <row r="91" spans="1:6" x14ac:dyDescent="0.3">
      <c r="A91" s="5">
        <v>45900</v>
      </c>
      <c r="B91" s="5">
        <v>45899</v>
      </c>
      <c r="C91" s="5">
        <v>45899</v>
      </c>
      <c r="D91" s="5">
        <v>45900</v>
      </c>
      <c r="E91" s="5">
        <v>45900</v>
      </c>
      <c r="F91" s="5">
        <v>45925</v>
      </c>
    </row>
    <row r="92" spans="1:6" x14ac:dyDescent="0.3">
      <c r="A92" s="5">
        <v>45901</v>
      </c>
      <c r="B92" s="5">
        <v>45900</v>
      </c>
      <c r="C92" s="5">
        <v>45900</v>
      </c>
      <c r="D92" s="5">
        <v>45901</v>
      </c>
      <c r="E92" s="5">
        <v>45901</v>
      </c>
      <c r="F92" s="5">
        <v>45926</v>
      </c>
    </row>
    <row r="93" spans="1:6" x14ac:dyDescent="0.3">
      <c r="A93" s="5">
        <v>45902</v>
      </c>
      <c r="B93" s="5">
        <v>45901</v>
      </c>
      <c r="C93" s="5">
        <v>45901</v>
      </c>
      <c r="D93" s="5">
        <v>45902</v>
      </c>
      <c r="E93" s="5">
        <v>45902</v>
      </c>
      <c r="F93" s="5">
        <v>45927</v>
      </c>
    </row>
    <row r="94" spans="1:6" x14ac:dyDescent="0.3">
      <c r="A94" s="5">
        <v>45903</v>
      </c>
      <c r="B94" s="5">
        <v>45902</v>
      </c>
      <c r="C94" s="5">
        <v>45902</v>
      </c>
      <c r="D94" s="5">
        <v>45903</v>
      </c>
      <c r="E94" s="5">
        <v>45903</v>
      </c>
      <c r="F94" s="5">
        <v>45928</v>
      </c>
    </row>
    <row r="95" spans="1:6" x14ac:dyDescent="0.3">
      <c r="A95" s="5">
        <v>45904</v>
      </c>
      <c r="B95" s="5">
        <v>45903</v>
      </c>
      <c r="C95" s="5">
        <v>45903</v>
      </c>
      <c r="D95" s="5">
        <v>45904</v>
      </c>
      <c r="E95" s="5">
        <v>45904</v>
      </c>
      <c r="F95" s="5">
        <v>45929</v>
      </c>
    </row>
    <row r="96" spans="1:6" x14ac:dyDescent="0.3">
      <c r="A96" s="5">
        <v>45905</v>
      </c>
      <c r="B96" s="5">
        <v>45904</v>
      </c>
      <c r="C96" s="5">
        <v>45904</v>
      </c>
      <c r="D96" s="5">
        <v>45905</v>
      </c>
      <c r="E96" s="5">
        <v>45905</v>
      </c>
      <c r="F96" s="5">
        <v>45930</v>
      </c>
    </row>
    <row r="97" spans="1:6" x14ac:dyDescent="0.3">
      <c r="A97" s="5">
        <v>45906</v>
      </c>
      <c r="B97" s="5">
        <v>45905</v>
      </c>
      <c r="C97" s="5">
        <v>45905</v>
      </c>
      <c r="D97" s="5">
        <v>45906</v>
      </c>
      <c r="E97" s="5">
        <v>45906</v>
      </c>
      <c r="F97" s="5">
        <v>45931</v>
      </c>
    </row>
    <row r="98" spans="1:6" x14ac:dyDescent="0.3">
      <c r="A98" s="5">
        <v>45907</v>
      </c>
      <c r="B98" s="5">
        <v>45906</v>
      </c>
      <c r="C98" s="5">
        <v>45906</v>
      </c>
      <c r="D98" s="5">
        <v>45907</v>
      </c>
      <c r="E98" s="5">
        <v>45907</v>
      </c>
      <c r="F98" s="5">
        <v>45932</v>
      </c>
    </row>
    <row r="99" spans="1:6" x14ac:dyDescent="0.3">
      <c r="A99" s="5">
        <v>45908</v>
      </c>
      <c r="B99" s="5">
        <v>45907</v>
      </c>
      <c r="C99" s="5">
        <v>45907</v>
      </c>
      <c r="D99" s="5">
        <v>45908</v>
      </c>
      <c r="E99" s="5">
        <v>45908</v>
      </c>
      <c r="F99" s="5">
        <v>45933</v>
      </c>
    </row>
    <row r="100" spans="1:6" x14ac:dyDescent="0.3">
      <c r="A100" s="5">
        <v>45909</v>
      </c>
      <c r="B100" s="5">
        <v>45908</v>
      </c>
      <c r="C100" s="5">
        <v>45908</v>
      </c>
      <c r="D100" s="5">
        <v>45909</v>
      </c>
      <c r="E100" s="5">
        <v>45909</v>
      </c>
      <c r="F100" s="5">
        <v>45934</v>
      </c>
    </row>
    <row r="101" spans="1:6" x14ac:dyDescent="0.3">
      <c r="A101" s="5">
        <v>45910</v>
      </c>
      <c r="B101" s="5">
        <v>45909</v>
      </c>
      <c r="C101" s="5">
        <v>45909</v>
      </c>
      <c r="D101" s="5">
        <v>45910</v>
      </c>
      <c r="E101" s="5">
        <v>45910</v>
      </c>
      <c r="F101" s="5">
        <v>45935</v>
      </c>
    </row>
    <row r="102" spans="1:6" x14ac:dyDescent="0.3">
      <c r="A102" s="5">
        <v>45911</v>
      </c>
      <c r="B102" s="5">
        <v>45910</v>
      </c>
      <c r="C102" s="5">
        <v>45910</v>
      </c>
      <c r="D102" s="5">
        <v>45911</v>
      </c>
      <c r="E102" s="5">
        <v>45911</v>
      </c>
      <c r="F102" s="5">
        <v>45936</v>
      </c>
    </row>
    <row r="103" spans="1:6" x14ac:dyDescent="0.3">
      <c r="A103" s="5">
        <v>45912</v>
      </c>
      <c r="B103" s="5">
        <v>45911</v>
      </c>
      <c r="C103" s="5">
        <v>45911</v>
      </c>
      <c r="D103" s="5">
        <v>45912</v>
      </c>
      <c r="E103" s="5">
        <v>45912</v>
      </c>
      <c r="F103" s="5">
        <v>45937</v>
      </c>
    </row>
    <row r="104" spans="1:6" x14ac:dyDescent="0.3">
      <c r="A104" s="5">
        <v>45913</v>
      </c>
      <c r="B104" s="5">
        <v>45912</v>
      </c>
      <c r="C104" s="5">
        <v>45912</v>
      </c>
      <c r="D104" s="5">
        <v>45913</v>
      </c>
      <c r="E104" s="5">
        <v>45913</v>
      </c>
      <c r="F104" s="5">
        <v>45938</v>
      </c>
    </row>
    <row r="105" spans="1:6" x14ac:dyDescent="0.3">
      <c r="A105" s="5">
        <v>45914</v>
      </c>
      <c r="B105" s="5">
        <v>45913</v>
      </c>
      <c r="C105" s="5">
        <v>45913</v>
      </c>
      <c r="D105" s="5">
        <v>45914</v>
      </c>
      <c r="E105" s="5">
        <v>45914</v>
      </c>
      <c r="F105" s="5">
        <v>45939</v>
      </c>
    </row>
    <row r="106" spans="1:6" x14ac:dyDescent="0.3">
      <c r="A106" s="5">
        <v>45915</v>
      </c>
      <c r="B106" s="5">
        <v>45914</v>
      </c>
      <c r="C106" s="5">
        <v>45914</v>
      </c>
      <c r="D106" s="5">
        <v>45915</v>
      </c>
      <c r="E106" s="5">
        <v>45915</v>
      </c>
      <c r="F106" s="5">
        <v>45940</v>
      </c>
    </row>
    <row r="107" spans="1:6" x14ac:dyDescent="0.3">
      <c r="A107" s="5">
        <v>45916</v>
      </c>
      <c r="B107" s="5">
        <v>45915</v>
      </c>
      <c r="C107" s="5">
        <v>45915</v>
      </c>
      <c r="D107" s="5">
        <v>45916</v>
      </c>
      <c r="E107" s="5">
        <v>45916</v>
      </c>
      <c r="F107" s="5">
        <v>45941</v>
      </c>
    </row>
    <row r="108" spans="1:6" x14ac:dyDescent="0.3">
      <c r="A108" s="5">
        <v>45917</v>
      </c>
      <c r="B108" s="5">
        <v>45916</v>
      </c>
      <c r="C108" s="5">
        <v>45916</v>
      </c>
      <c r="D108" s="5">
        <v>45917</v>
      </c>
      <c r="E108" s="5">
        <v>45917</v>
      </c>
      <c r="F108" s="5">
        <v>45942</v>
      </c>
    </row>
    <row r="109" spans="1:6" x14ac:dyDescent="0.3">
      <c r="A109" s="5">
        <v>45918</v>
      </c>
      <c r="B109" s="5">
        <v>45917</v>
      </c>
      <c r="C109" s="5">
        <v>45917</v>
      </c>
      <c r="D109" s="5">
        <v>45918</v>
      </c>
      <c r="E109" s="5">
        <v>45918</v>
      </c>
      <c r="F109" s="5">
        <v>45943</v>
      </c>
    </row>
    <row r="110" spans="1:6" x14ac:dyDescent="0.3">
      <c r="A110" s="5">
        <v>45919</v>
      </c>
      <c r="B110" s="5">
        <v>45918</v>
      </c>
      <c r="C110" s="5">
        <v>45918</v>
      </c>
      <c r="D110" s="5">
        <v>45919</v>
      </c>
      <c r="E110" s="5">
        <v>45919</v>
      </c>
      <c r="F110" s="5">
        <v>45944</v>
      </c>
    </row>
    <row r="111" spans="1:6" x14ac:dyDescent="0.3">
      <c r="A111" s="5">
        <v>45920</v>
      </c>
      <c r="B111" s="5">
        <v>45919</v>
      </c>
      <c r="C111" s="5">
        <v>45919</v>
      </c>
      <c r="D111" s="5">
        <v>45922</v>
      </c>
      <c r="E111" s="5">
        <v>45920</v>
      </c>
      <c r="F111" s="5">
        <v>45945</v>
      </c>
    </row>
    <row r="112" spans="1:6" x14ac:dyDescent="0.3">
      <c r="A112" s="5">
        <v>45921</v>
      </c>
      <c r="B112" s="5">
        <v>45920</v>
      </c>
      <c r="C112" s="5">
        <v>45920</v>
      </c>
      <c r="D112" s="5">
        <v>45926</v>
      </c>
      <c r="E112" s="5">
        <v>45921</v>
      </c>
      <c r="F112" s="5">
        <v>45946</v>
      </c>
    </row>
    <row r="113" spans="1:6" x14ac:dyDescent="0.3">
      <c r="A113" s="5">
        <v>45922</v>
      </c>
      <c r="B113" s="5">
        <v>45921</v>
      </c>
      <c r="C113" s="5">
        <v>45921</v>
      </c>
      <c r="D113" s="5">
        <v>45937</v>
      </c>
      <c r="E113" s="5">
        <v>45922</v>
      </c>
      <c r="F113" s="6">
        <v>45947</v>
      </c>
    </row>
    <row r="114" spans="1:6" x14ac:dyDescent="0.3">
      <c r="A114" s="5">
        <v>45923</v>
      </c>
      <c r="B114" s="5">
        <v>45922</v>
      </c>
      <c r="C114" s="5">
        <v>45922</v>
      </c>
      <c r="D114" s="5">
        <v>45938</v>
      </c>
      <c r="E114" s="5">
        <v>45923</v>
      </c>
      <c r="F114" s="6">
        <v>45948</v>
      </c>
    </row>
    <row r="115" spans="1:6" x14ac:dyDescent="0.3">
      <c r="A115" s="5">
        <v>45924</v>
      </c>
      <c r="B115" s="5">
        <v>45923</v>
      </c>
      <c r="C115" s="5">
        <v>45923</v>
      </c>
      <c r="D115" s="5">
        <v>45947</v>
      </c>
      <c r="E115" s="5">
        <v>45924</v>
      </c>
      <c r="F115" s="6">
        <v>45949</v>
      </c>
    </row>
    <row r="116" spans="1:6" x14ac:dyDescent="0.3">
      <c r="A116" s="5">
        <v>45925</v>
      </c>
      <c r="B116" s="5">
        <v>45924</v>
      </c>
      <c r="C116" s="5">
        <v>45924</v>
      </c>
      <c r="D116" s="6">
        <v>45948</v>
      </c>
      <c r="E116" s="5">
        <v>45925</v>
      </c>
      <c r="F116" s="6">
        <v>45950</v>
      </c>
    </row>
    <row r="117" spans="1:6" x14ac:dyDescent="0.3">
      <c r="A117" s="5">
        <v>45926</v>
      </c>
      <c r="B117" s="5">
        <v>45925</v>
      </c>
      <c r="C117" s="5">
        <v>45925</v>
      </c>
      <c r="D117" s="6">
        <v>45949</v>
      </c>
      <c r="E117" s="5">
        <v>45926</v>
      </c>
      <c r="F117" s="6">
        <v>45951</v>
      </c>
    </row>
    <row r="118" spans="1:6" x14ac:dyDescent="0.3">
      <c r="A118" s="5">
        <v>45927</v>
      </c>
      <c r="B118" s="5">
        <v>45926</v>
      </c>
      <c r="C118" s="5">
        <v>45926</v>
      </c>
      <c r="D118" s="6">
        <v>45950</v>
      </c>
      <c r="E118" s="5">
        <v>45927</v>
      </c>
      <c r="F118" s="6">
        <v>45952</v>
      </c>
    </row>
    <row r="119" spans="1:6" x14ac:dyDescent="0.3">
      <c r="A119" s="5">
        <v>45928</v>
      </c>
      <c r="B119" s="5">
        <v>45927</v>
      </c>
      <c r="C119" s="5">
        <v>45927</v>
      </c>
      <c r="D119" s="6">
        <v>45951</v>
      </c>
      <c r="E119" s="5">
        <v>45928</v>
      </c>
      <c r="F119" s="6">
        <v>45953</v>
      </c>
    </row>
    <row r="120" spans="1:6" x14ac:dyDescent="0.3">
      <c r="A120" s="5">
        <v>45929</v>
      </c>
      <c r="B120" s="5">
        <v>45928</v>
      </c>
      <c r="C120" s="5">
        <v>45928</v>
      </c>
      <c r="D120" s="6">
        <v>45954</v>
      </c>
      <c r="E120" s="5">
        <v>45929</v>
      </c>
      <c r="F120" s="6">
        <v>45954</v>
      </c>
    </row>
    <row r="121" spans="1:6" x14ac:dyDescent="0.3">
      <c r="A121" s="5">
        <v>45930</v>
      </c>
      <c r="B121" s="5">
        <v>45929</v>
      </c>
      <c r="C121" s="5">
        <v>45929</v>
      </c>
      <c r="D121" s="6">
        <v>45955</v>
      </c>
      <c r="E121" s="5">
        <v>45930</v>
      </c>
      <c r="F121" s="6">
        <v>45955</v>
      </c>
    </row>
    <row r="122" spans="1:6" x14ac:dyDescent="0.3">
      <c r="A122" s="5">
        <v>45931</v>
      </c>
      <c r="B122" s="5">
        <v>45930</v>
      </c>
      <c r="C122" s="5">
        <v>45930</v>
      </c>
      <c r="D122" s="6">
        <v>45956</v>
      </c>
      <c r="E122" s="5">
        <v>45931</v>
      </c>
      <c r="F122" s="6">
        <v>45956</v>
      </c>
    </row>
    <row r="123" spans="1:6" x14ac:dyDescent="0.3">
      <c r="A123" s="5">
        <v>45932</v>
      </c>
      <c r="B123" s="5">
        <v>45931</v>
      </c>
      <c r="C123" s="5">
        <v>45931</v>
      </c>
      <c r="D123" s="6">
        <v>45957</v>
      </c>
      <c r="E123" s="5">
        <v>45932</v>
      </c>
      <c r="F123" s="6">
        <v>45957</v>
      </c>
    </row>
    <row r="124" spans="1:6" x14ac:dyDescent="0.3">
      <c r="A124" s="5">
        <v>45933</v>
      </c>
      <c r="B124" s="5">
        <v>45932</v>
      </c>
      <c r="C124" s="5">
        <v>45932</v>
      </c>
      <c r="D124" s="6">
        <v>45958</v>
      </c>
      <c r="E124" s="5">
        <v>45933</v>
      </c>
      <c r="F124" s="6">
        <v>45958</v>
      </c>
    </row>
    <row r="125" spans="1:6" x14ac:dyDescent="0.3">
      <c r="A125" s="5">
        <v>45934</v>
      </c>
      <c r="B125" s="5">
        <v>45933</v>
      </c>
      <c r="C125" s="5">
        <v>45933</v>
      </c>
      <c r="D125" s="6">
        <v>45960</v>
      </c>
      <c r="E125" s="5">
        <v>45934</v>
      </c>
      <c r="F125" s="6">
        <v>45959</v>
      </c>
    </row>
    <row r="126" spans="1:6" x14ac:dyDescent="0.3">
      <c r="A126" s="5">
        <v>45935</v>
      </c>
      <c r="B126" s="5">
        <v>45934</v>
      </c>
      <c r="C126" s="5">
        <v>45934</v>
      </c>
      <c r="D126" s="6">
        <v>45961</v>
      </c>
      <c r="E126" s="5">
        <v>45935</v>
      </c>
      <c r="F126" s="6">
        <v>45960</v>
      </c>
    </row>
    <row r="127" spans="1:6" x14ac:dyDescent="0.3">
      <c r="A127" s="5">
        <v>45936</v>
      </c>
      <c r="B127" s="5">
        <v>45935</v>
      </c>
      <c r="C127" s="5">
        <v>45935</v>
      </c>
      <c r="D127" s="6">
        <v>45962</v>
      </c>
      <c r="E127" s="5">
        <v>45936</v>
      </c>
      <c r="F127" s="6">
        <v>45961</v>
      </c>
    </row>
    <row r="128" spans="1:6" x14ac:dyDescent="0.3">
      <c r="A128" s="5">
        <v>45937</v>
      </c>
      <c r="B128" s="5">
        <v>45936</v>
      </c>
      <c r="C128" s="5">
        <v>45936</v>
      </c>
      <c r="D128" s="6">
        <v>45964</v>
      </c>
      <c r="E128" s="5">
        <v>45937</v>
      </c>
      <c r="F128" s="6">
        <v>45962</v>
      </c>
    </row>
    <row r="129" spans="1:6" x14ac:dyDescent="0.3">
      <c r="A129" s="5">
        <v>45938</v>
      </c>
      <c r="B129" s="5">
        <v>45937</v>
      </c>
      <c r="C129" s="5">
        <v>45937</v>
      </c>
      <c r="D129" s="6">
        <v>45965</v>
      </c>
      <c r="E129" s="5">
        <v>45938</v>
      </c>
      <c r="F129" s="6">
        <v>45963</v>
      </c>
    </row>
    <row r="130" spans="1:6" x14ac:dyDescent="0.3">
      <c r="A130" s="5">
        <v>45939</v>
      </c>
      <c r="B130" s="5">
        <v>45938</v>
      </c>
      <c r="C130" s="5">
        <v>45938</v>
      </c>
      <c r="D130" s="6">
        <v>45966</v>
      </c>
      <c r="E130" s="5">
        <v>45939</v>
      </c>
      <c r="F130" s="6">
        <v>45964</v>
      </c>
    </row>
    <row r="131" spans="1:6" x14ac:dyDescent="0.3">
      <c r="A131" s="5">
        <v>45940</v>
      </c>
      <c r="B131" s="5">
        <v>45939</v>
      </c>
      <c r="C131" s="5">
        <v>45939</v>
      </c>
      <c r="E131" s="5">
        <v>45940</v>
      </c>
      <c r="F131" s="6">
        <v>45965</v>
      </c>
    </row>
    <row r="132" spans="1:6" x14ac:dyDescent="0.3">
      <c r="A132" s="5">
        <v>45941</v>
      </c>
      <c r="B132" s="5">
        <v>45940</v>
      </c>
      <c r="C132" s="5">
        <v>45940</v>
      </c>
      <c r="E132" s="5">
        <v>45941</v>
      </c>
      <c r="F132" s="6">
        <v>45966</v>
      </c>
    </row>
    <row r="133" spans="1:6" x14ac:dyDescent="0.3">
      <c r="A133" s="5">
        <v>45942</v>
      </c>
      <c r="B133" s="5">
        <v>45941</v>
      </c>
      <c r="C133" s="5">
        <v>45941</v>
      </c>
      <c r="E133" s="5">
        <v>45942</v>
      </c>
    </row>
    <row r="134" spans="1:6" x14ac:dyDescent="0.3">
      <c r="A134" s="5">
        <v>45943</v>
      </c>
      <c r="B134" s="5">
        <v>45942</v>
      </c>
      <c r="C134" s="5">
        <v>45942</v>
      </c>
      <c r="E134" s="5">
        <v>45943</v>
      </c>
    </row>
    <row r="135" spans="1:6" x14ac:dyDescent="0.3">
      <c r="A135" s="5">
        <v>45944</v>
      </c>
      <c r="B135" s="5">
        <v>45943</v>
      </c>
      <c r="C135" s="5">
        <v>45943</v>
      </c>
      <c r="E135" s="5">
        <v>45944</v>
      </c>
    </row>
    <row r="136" spans="1:6" x14ac:dyDescent="0.3">
      <c r="A136" s="5">
        <v>45945</v>
      </c>
      <c r="B136" s="5">
        <v>45944</v>
      </c>
      <c r="C136" s="5">
        <v>45944</v>
      </c>
      <c r="E136" s="5">
        <v>45945</v>
      </c>
    </row>
    <row r="137" spans="1:6" x14ac:dyDescent="0.3">
      <c r="A137" s="6">
        <v>45947</v>
      </c>
      <c r="B137" s="5">
        <v>45945</v>
      </c>
      <c r="C137" s="5">
        <v>45945</v>
      </c>
      <c r="E137" s="6">
        <v>45947</v>
      </c>
    </row>
    <row r="138" spans="1:6" x14ac:dyDescent="0.3">
      <c r="A138" s="6">
        <v>45948</v>
      </c>
      <c r="B138" s="5">
        <v>45946</v>
      </c>
      <c r="C138" s="6">
        <v>45947</v>
      </c>
      <c r="E138" s="6">
        <v>45948</v>
      </c>
    </row>
    <row r="139" spans="1:6" x14ac:dyDescent="0.3">
      <c r="A139" s="6">
        <v>45949</v>
      </c>
      <c r="B139" s="5">
        <v>45947</v>
      </c>
      <c r="C139" s="6">
        <v>45948</v>
      </c>
      <c r="E139" s="6">
        <v>45949</v>
      </c>
    </row>
    <row r="140" spans="1:6" x14ac:dyDescent="0.3">
      <c r="A140" s="6">
        <v>45950</v>
      </c>
      <c r="B140" s="5">
        <v>45948</v>
      </c>
      <c r="C140" s="6">
        <v>45949</v>
      </c>
      <c r="E140" s="6">
        <v>45950</v>
      </c>
    </row>
    <row r="141" spans="1:6" x14ac:dyDescent="0.3">
      <c r="A141" s="6">
        <v>45951</v>
      </c>
      <c r="B141" s="5">
        <v>45949</v>
      </c>
      <c r="C141" s="6">
        <v>45950</v>
      </c>
      <c r="E141" s="6">
        <v>45951</v>
      </c>
    </row>
    <row r="142" spans="1:6" x14ac:dyDescent="0.3">
      <c r="A142" s="6">
        <v>45952</v>
      </c>
      <c r="B142" s="5">
        <v>45950</v>
      </c>
      <c r="C142" s="6">
        <v>45951</v>
      </c>
      <c r="E142" s="6">
        <v>45952</v>
      </c>
    </row>
    <row r="143" spans="1:6" x14ac:dyDescent="0.3">
      <c r="A143" s="6">
        <v>45953</v>
      </c>
      <c r="B143" s="6">
        <v>45954</v>
      </c>
      <c r="C143" s="6">
        <v>45952</v>
      </c>
      <c r="E143" s="6">
        <v>45953</v>
      </c>
    </row>
    <row r="144" spans="1:6" x14ac:dyDescent="0.3">
      <c r="A144" s="6">
        <v>45954</v>
      </c>
      <c r="B144" s="6">
        <v>45955</v>
      </c>
      <c r="C144" s="6">
        <v>45953</v>
      </c>
      <c r="E144" s="6">
        <v>45954</v>
      </c>
    </row>
    <row r="145" spans="1:5" x14ac:dyDescent="0.3">
      <c r="A145" s="6">
        <v>45955</v>
      </c>
      <c r="B145" s="6">
        <v>45956</v>
      </c>
      <c r="C145" s="6">
        <v>45954</v>
      </c>
      <c r="E145" s="6">
        <v>45955</v>
      </c>
    </row>
    <row r="146" spans="1:5" x14ac:dyDescent="0.3">
      <c r="A146" s="6">
        <v>45956</v>
      </c>
      <c r="B146" s="6">
        <v>45957</v>
      </c>
      <c r="C146" s="6">
        <v>45955</v>
      </c>
      <c r="E146" s="6">
        <v>45956</v>
      </c>
    </row>
    <row r="147" spans="1:5" x14ac:dyDescent="0.3">
      <c r="A147" s="6">
        <v>45957</v>
      </c>
      <c r="B147" s="6">
        <v>45958</v>
      </c>
      <c r="C147" s="6">
        <v>45956</v>
      </c>
      <c r="E147" s="6">
        <v>45957</v>
      </c>
    </row>
    <row r="148" spans="1:5" x14ac:dyDescent="0.3">
      <c r="A148" s="6">
        <v>45958</v>
      </c>
      <c r="B148" s="6">
        <v>45959</v>
      </c>
      <c r="C148" s="6">
        <v>45957</v>
      </c>
      <c r="E148" s="6">
        <v>45958</v>
      </c>
    </row>
    <row r="149" spans="1:5" x14ac:dyDescent="0.3">
      <c r="A149" s="6">
        <v>45959</v>
      </c>
      <c r="B149" s="6">
        <v>45960</v>
      </c>
      <c r="C149" s="6">
        <v>45958</v>
      </c>
      <c r="E149" s="6">
        <v>45959</v>
      </c>
    </row>
    <row r="150" spans="1:5" x14ac:dyDescent="0.3">
      <c r="A150" s="6">
        <v>45960</v>
      </c>
      <c r="B150" s="6">
        <v>45961</v>
      </c>
      <c r="C150" s="6">
        <v>45959</v>
      </c>
      <c r="E150" s="6">
        <v>45960</v>
      </c>
    </row>
    <row r="151" spans="1:5" x14ac:dyDescent="0.3">
      <c r="A151" s="6">
        <v>45961</v>
      </c>
      <c r="B151" s="6">
        <v>45962</v>
      </c>
      <c r="C151" s="6">
        <v>45960</v>
      </c>
      <c r="E151" s="6">
        <v>45961</v>
      </c>
    </row>
    <row r="152" spans="1:5" x14ac:dyDescent="0.3">
      <c r="A152" s="6">
        <v>45962</v>
      </c>
      <c r="B152" s="6">
        <v>45963</v>
      </c>
      <c r="C152" s="6">
        <v>45961</v>
      </c>
      <c r="E152" s="6">
        <v>45962</v>
      </c>
    </row>
    <row r="153" spans="1:5" x14ac:dyDescent="0.3">
      <c r="A153" s="6">
        <v>45963</v>
      </c>
      <c r="B153" s="6">
        <v>45964</v>
      </c>
      <c r="C153" s="6">
        <v>45962</v>
      </c>
      <c r="E153" s="6">
        <v>45963</v>
      </c>
    </row>
    <row r="154" spans="1:5" x14ac:dyDescent="0.3">
      <c r="A154" s="6">
        <v>45964</v>
      </c>
      <c r="B154" s="6">
        <v>45965</v>
      </c>
      <c r="C154" s="6">
        <v>45963</v>
      </c>
      <c r="E154" s="6">
        <v>45964</v>
      </c>
    </row>
    <row r="155" spans="1:5" x14ac:dyDescent="0.3">
      <c r="A155" s="6">
        <v>45965</v>
      </c>
      <c r="B155" s="6">
        <v>45966</v>
      </c>
      <c r="C155" s="6">
        <v>45964</v>
      </c>
      <c r="E155" s="6">
        <v>45965</v>
      </c>
    </row>
    <row r="156" spans="1:5" x14ac:dyDescent="0.3">
      <c r="A156" s="6">
        <v>45966</v>
      </c>
      <c r="C156" s="6">
        <v>45965</v>
      </c>
      <c r="E156" s="6">
        <v>45966</v>
      </c>
    </row>
    <row r="157" spans="1:5" x14ac:dyDescent="0.3">
      <c r="C157" s="6">
        <v>45966</v>
      </c>
    </row>
  </sheetData>
  <mergeCells count="1">
    <mergeCell ref="H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D187A-0489-4335-B120-44803349A80D}">
  <dimension ref="A1:P8"/>
  <sheetViews>
    <sheetView tabSelected="1" workbookViewId="0">
      <selection activeCell="H9" sqref="H9"/>
    </sheetView>
  </sheetViews>
  <sheetFormatPr defaultRowHeight="14.4" x14ac:dyDescent="0.3"/>
  <cols>
    <col min="2" max="3" width="9.5546875" bestFit="1" customWidth="1"/>
    <col min="4" max="5" width="10.5546875" bestFit="1" customWidth="1"/>
    <col min="7" max="9" width="9.5546875" bestFit="1" customWidth="1"/>
    <col min="10" max="11" width="10.5546875" bestFit="1" customWidth="1"/>
    <col min="12" max="12" width="8.44140625" bestFit="1" customWidth="1"/>
    <col min="13" max="13" width="10.88671875" bestFit="1" customWidth="1"/>
    <col min="14" max="14" width="10.109375" bestFit="1" customWidth="1"/>
    <col min="15" max="15" width="11.77734375" bestFit="1" customWidth="1"/>
    <col min="16" max="16" width="11" bestFit="1" customWidth="1"/>
  </cols>
  <sheetData>
    <row r="1" spans="1:16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</row>
    <row r="2" spans="1:16" x14ac:dyDescent="0.3">
      <c r="A2" t="s">
        <v>26</v>
      </c>
      <c r="B2" s="8">
        <v>45845</v>
      </c>
      <c r="C2" s="8">
        <v>45866</v>
      </c>
      <c r="D2" s="8">
        <v>45947</v>
      </c>
      <c r="E2" s="8">
        <v>45966</v>
      </c>
      <c r="F2">
        <f>COUNTIF(DatesAvailable!$F$2:$F$31, "&gt;=" &amp; B2)</f>
        <v>18</v>
      </c>
      <c r="G2">
        <f>COUNT(DatesAvailable!F113:F132)</f>
        <v>20</v>
      </c>
      <c r="H2" s="8">
        <f>DatesAvailable!F4</f>
        <v>45835</v>
      </c>
      <c r="I2" s="8">
        <f>B2</f>
        <v>45845</v>
      </c>
      <c r="J2" s="8">
        <f>I2</f>
        <v>45845</v>
      </c>
      <c r="K2" s="8">
        <f>J2</f>
        <v>45845</v>
      </c>
      <c r="M2" s="8">
        <f>B2</f>
        <v>45845</v>
      </c>
      <c r="N2" s="8">
        <f>C2</f>
        <v>45866</v>
      </c>
      <c r="O2" s="8">
        <f>D2</f>
        <v>45947</v>
      </c>
      <c r="P2" s="8">
        <f>E2</f>
        <v>45966</v>
      </c>
    </row>
    <row r="3" spans="1:16" x14ac:dyDescent="0.3">
      <c r="A3" t="s">
        <v>27</v>
      </c>
      <c r="B3" s="8">
        <v>45828</v>
      </c>
      <c r="C3" s="8">
        <v>45848</v>
      </c>
      <c r="D3" s="8">
        <v>45947</v>
      </c>
      <c r="E3" s="8">
        <v>45966</v>
      </c>
      <c r="F3">
        <f>COUNTIF(DatesAvailable!$F$2:$F$31, "&gt;=" &amp; B3)</f>
        <v>28</v>
      </c>
      <c r="G3">
        <f>COUNT(DatesAvailable!C138:C157)</f>
        <v>20</v>
      </c>
      <c r="H3" s="8">
        <f>DatesAvailable!C2 + 7</f>
        <v>45817</v>
      </c>
      <c r="I3" s="8">
        <f t="shared" ref="I3:I8" si="0">B3</f>
        <v>45828</v>
      </c>
      <c r="J3" s="8">
        <f t="shared" ref="J3:K8" si="1">I3</f>
        <v>45828</v>
      </c>
      <c r="K3" s="8">
        <f t="shared" si="1"/>
        <v>45828</v>
      </c>
      <c r="M3" s="8">
        <f t="shared" ref="M3:M8" si="2">B3</f>
        <v>45828</v>
      </c>
      <c r="N3" s="8">
        <f t="shared" ref="N3:N8" si="3">C3</f>
        <v>45848</v>
      </c>
      <c r="O3" s="8">
        <f t="shared" ref="O3:O8" si="4">D3</f>
        <v>45947</v>
      </c>
      <c r="P3" s="8">
        <f t="shared" ref="P3:P8" si="5">E3</f>
        <v>45966</v>
      </c>
    </row>
    <row r="4" spans="1:16" x14ac:dyDescent="0.3">
      <c r="A4" t="s">
        <v>28</v>
      </c>
      <c r="B4" s="8">
        <v>45828</v>
      </c>
      <c r="C4" s="8">
        <v>45848</v>
      </c>
      <c r="D4" s="8">
        <v>45947</v>
      </c>
      <c r="E4" s="8">
        <v>45966</v>
      </c>
      <c r="F4">
        <f>COUNTIF(DatesAvailable!$F$2:$F$31, "&gt;=" &amp; B4)</f>
        <v>28</v>
      </c>
      <c r="G4">
        <f>COUNT(DatesAvailable!A137:A156)</f>
        <v>20</v>
      </c>
      <c r="H4" s="8">
        <f>DatesAvailable!A2 + 7</f>
        <v>45818</v>
      </c>
      <c r="I4" s="8">
        <f t="shared" si="0"/>
        <v>45828</v>
      </c>
      <c r="J4" s="8">
        <f t="shared" si="1"/>
        <v>45828</v>
      </c>
      <c r="K4" s="8">
        <f t="shared" si="1"/>
        <v>45828</v>
      </c>
      <c r="M4" s="8">
        <f t="shared" si="2"/>
        <v>45828</v>
      </c>
      <c r="N4" s="8">
        <f t="shared" si="3"/>
        <v>45848</v>
      </c>
      <c r="O4" s="8">
        <f t="shared" si="4"/>
        <v>45947</v>
      </c>
      <c r="P4" s="8">
        <f t="shared" si="5"/>
        <v>45966</v>
      </c>
    </row>
    <row r="5" spans="1:16" x14ac:dyDescent="0.3">
      <c r="A5" t="s">
        <v>32</v>
      </c>
      <c r="B5" s="8">
        <f>B6</f>
        <v>45828</v>
      </c>
      <c r="C5" s="8">
        <v>45849</v>
      </c>
      <c r="D5" s="8">
        <f>D6</f>
        <v>45954</v>
      </c>
      <c r="E5" s="8">
        <f>E6</f>
        <v>45966</v>
      </c>
      <c r="F5">
        <f>F6</f>
        <v>28</v>
      </c>
      <c r="G5">
        <v>13</v>
      </c>
      <c r="H5" s="8">
        <f>DatesAvailable!B2 + 7</f>
        <v>45817</v>
      </c>
      <c r="I5" s="8">
        <f t="shared" si="0"/>
        <v>45828</v>
      </c>
      <c r="J5" s="8">
        <f>J6</f>
        <v>45828</v>
      </c>
      <c r="K5" s="8">
        <f>K6</f>
        <v>45828</v>
      </c>
      <c r="M5" s="8">
        <f>B5</f>
        <v>45828</v>
      </c>
      <c r="N5" s="8">
        <f t="shared" si="3"/>
        <v>45849</v>
      </c>
      <c r="O5" s="8">
        <f>D5</f>
        <v>45954</v>
      </c>
      <c r="P5" s="8">
        <f>P6</f>
        <v>45966</v>
      </c>
    </row>
    <row r="6" spans="1:16" x14ac:dyDescent="0.3">
      <c r="A6" t="s">
        <v>31</v>
      </c>
      <c r="B6" s="8">
        <v>45828</v>
      </c>
      <c r="C6" s="8">
        <v>45887</v>
      </c>
      <c r="D6" s="8">
        <v>45954</v>
      </c>
      <c r="E6" s="8">
        <v>45966</v>
      </c>
      <c r="F6">
        <f>COUNTIF(DatesAvailable!$F$2:$F$31, "&gt;=" &amp; B6)</f>
        <v>28</v>
      </c>
      <c r="G6">
        <f>COUNT(DatesAvailable!B143:B155)</f>
        <v>13</v>
      </c>
      <c r="H6" s="8">
        <f>H5</f>
        <v>45817</v>
      </c>
      <c r="I6" s="8">
        <f t="shared" si="0"/>
        <v>45828</v>
      </c>
      <c r="J6" s="8">
        <f t="shared" si="1"/>
        <v>45828</v>
      </c>
      <c r="K6" s="8">
        <f t="shared" si="1"/>
        <v>45828</v>
      </c>
      <c r="M6" s="8">
        <f t="shared" si="2"/>
        <v>45828</v>
      </c>
      <c r="N6" s="8">
        <f>N5</f>
        <v>45849</v>
      </c>
      <c r="O6" s="8">
        <f t="shared" si="4"/>
        <v>45954</v>
      </c>
      <c r="P6" s="8">
        <f t="shared" si="5"/>
        <v>45966</v>
      </c>
    </row>
    <row r="7" spans="1:16" x14ac:dyDescent="0.3">
      <c r="A7" t="s">
        <v>29</v>
      </c>
      <c r="B7" s="8">
        <v>45828</v>
      </c>
      <c r="C7" s="8">
        <v>45849</v>
      </c>
      <c r="D7" s="8">
        <v>45948</v>
      </c>
      <c r="E7" s="8">
        <v>45966</v>
      </c>
      <c r="F7">
        <f>COUNTIF(DatesAvailable!$F$2:$F$31, "&gt;=" &amp; B7)</f>
        <v>28</v>
      </c>
      <c r="G7">
        <f>COUNT(DatesAvailable!D116:D130)</f>
        <v>15</v>
      </c>
      <c r="H7" s="8">
        <f>DatesAvailable!D2 + 7</f>
        <v>45818</v>
      </c>
      <c r="I7" s="8">
        <f t="shared" si="0"/>
        <v>45828</v>
      </c>
      <c r="J7" s="8">
        <f t="shared" si="1"/>
        <v>45828</v>
      </c>
      <c r="K7" s="8">
        <f t="shared" si="1"/>
        <v>45828</v>
      </c>
      <c r="M7" s="8">
        <f t="shared" si="2"/>
        <v>45828</v>
      </c>
      <c r="N7" s="8">
        <f t="shared" si="3"/>
        <v>45849</v>
      </c>
      <c r="O7" s="8">
        <f t="shared" si="4"/>
        <v>45948</v>
      </c>
      <c r="P7" s="8">
        <f t="shared" si="5"/>
        <v>45966</v>
      </c>
    </row>
    <row r="8" spans="1:16" x14ac:dyDescent="0.3">
      <c r="A8" t="s">
        <v>30</v>
      </c>
      <c r="B8" s="8">
        <v>45828</v>
      </c>
      <c r="C8" s="8">
        <v>45849</v>
      </c>
      <c r="D8" s="8">
        <v>45947</v>
      </c>
      <c r="E8" s="8">
        <v>45966</v>
      </c>
      <c r="F8">
        <f>COUNTIF(DatesAvailable!$F$2:$F$31, "&gt;=" &amp; B8)</f>
        <v>28</v>
      </c>
      <c r="G8">
        <f>COUNT(DatesAvailable!E137:E156)</f>
        <v>20</v>
      </c>
      <c r="H8" s="8">
        <f>DatesAvailable!E2 + 7</f>
        <v>45818</v>
      </c>
      <c r="I8" s="8">
        <f t="shared" si="0"/>
        <v>45828</v>
      </c>
      <c r="J8" s="8">
        <f t="shared" si="1"/>
        <v>45828</v>
      </c>
      <c r="K8" s="8">
        <f t="shared" si="1"/>
        <v>45828</v>
      </c>
      <c r="M8" s="8">
        <f t="shared" si="2"/>
        <v>45828</v>
      </c>
      <c r="N8" s="8">
        <f t="shared" si="3"/>
        <v>45849</v>
      </c>
      <c r="O8" s="8">
        <f t="shared" si="4"/>
        <v>45947</v>
      </c>
      <c r="P8" s="8">
        <f t="shared" si="5"/>
        <v>45966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DatesAvailable</vt:lpstr>
      <vt:lpstr>Deployment 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Colpitts,Torria</cp:lastModifiedBy>
  <dcterms:created xsi:type="dcterms:W3CDTF">2025-11-07T17:07:25Z</dcterms:created>
  <dcterms:modified xsi:type="dcterms:W3CDTF">2025-11-15T20:48:59Z</dcterms:modified>
</cp:coreProperties>
</file>