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316EE2E9-C0D1-46BF-ACD6-F93CB6D79A0A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O5" i="2"/>
  <c r="N5" i="2"/>
  <c r="M5" i="2"/>
  <c r="K5" i="2"/>
  <c r="J5" i="2"/>
  <c r="I5" i="2"/>
  <c r="H5" i="2"/>
  <c r="I6" i="2"/>
  <c r="H6" i="2"/>
  <c r="F5" i="2"/>
  <c r="E5" i="2"/>
  <c r="D5" i="2"/>
  <c r="B5" i="2"/>
  <c r="M3" i="2"/>
  <c r="M4" i="2"/>
  <c r="M6" i="2"/>
  <c r="M7" i="2"/>
  <c r="M8" i="2"/>
  <c r="M2" i="2"/>
  <c r="F3" i="2"/>
  <c r="H3" i="2" s="1"/>
  <c r="N3" i="2" s="1"/>
  <c r="F4" i="2"/>
  <c r="H4" i="2" s="1"/>
  <c r="N4" i="2" s="1"/>
  <c r="F6" i="2"/>
  <c r="N6" i="2" s="1"/>
  <c r="F7" i="2"/>
  <c r="H7" i="2" s="1"/>
  <c r="N7" i="2" s="1"/>
  <c r="F8" i="2"/>
  <c r="H8" i="2" s="1"/>
  <c r="N8" i="2" s="1"/>
  <c r="F2" i="2"/>
  <c r="H2" i="2" s="1"/>
  <c r="O3" i="2"/>
  <c r="O4" i="2"/>
  <c r="O6" i="2"/>
  <c r="O7" i="2"/>
  <c r="O8" i="2"/>
  <c r="O2" i="2"/>
  <c r="J7" i="2"/>
  <c r="K7" i="2" s="1"/>
  <c r="J8" i="2"/>
  <c r="K8" i="2" s="1"/>
  <c r="I3" i="2"/>
  <c r="J3" i="2" s="1"/>
  <c r="K3" i="2" s="1"/>
  <c r="I4" i="2"/>
  <c r="J4" i="2" s="1"/>
  <c r="K4" i="2" s="1"/>
  <c r="J6" i="2"/>
  <c r="K6" i="2" s="1"/>
  <c r="I7" i="2"/>
  <c r="I8" i="2"/>
  <c r="I2" i="2"/>
  <c r="J2" i="2" s="1"/>
  <c r="K2" i="2" s="1"/>
  <c r="P3" i="2"/>
  <c r="P4" i="2"/>
  <c r="P6" i="2"/>
  <c r="P7" i="2"/>
  <c r="P8" i="2"/>
  <c r="P2" i="2"/>
  <c r="G8" i="2"/>
  <c r="G7" i="2"/>
  <c r="G6" i="2"/>
  <c r="G4" i="2"/>
  <c r="G3" i="2"/>
  <c r="G2" i="2"/>
  <c r="N2" i="2" l="1"/>
</calcChain>
</file>

<file path=xl/sharedStrings.xml><?xml version="1.0" encoding="utf-8"?>
<sst xmlns="http://schemas.openxmlformats.org/spreadsheetml/2006/main" count="33" uniqueCount="33">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</sst>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8"/>
  <sheetViews>
    <sheetView tabSelected="1" workbookViewId="0">
      <selection activeCell="P6" sqref="P6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45835</v>
      </c>
      <c r="C2" s="8">
        <v>45866</v>
      </c>
      <c r="D2" s="8">
        <v>45947</v>
      </c>
      <c r="E2" s="8">
        <v>45966</v>
      </c>
      <c r="F2">
        <f>COUNTIF(DatesAvailable!$F$2:$F$31, "&gt;=" &amp; B2)</f>
        <v>28</v>
      </c>
      <c r="G2">
        <f>COUNT(DatesAvailable!F113:F132)</f>
        <v>20</v>
      </c>
      <c r="H2" s="8">
        <f>C2-0.3*F2</f>
        <v>45857.599999999999</v>
      </c>
      <c r="I2" s="8">
        <f>C2</f>
        <v>45866</v>
      </c>
      <c r="J2" s="8">
        <f>I2</f>
        <v>45866</v>
      </c>
      <c r="K2" s="8">
        <f>J2</f>
        <v>45866</v>
      </c>
      <c r="M2" s="8">
        <f>B2</f>
        <v>45835</v>
      </c>
      <c r="N2" s="8">
        <f>H2</f>
        <v>45857.599999999999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8" si="0">C3-0.3*F3</f>
        <v>45839.3</v>
      </c>
      <c r="I3" s="8">
        <f t="shared" ref="I3:I8" si="1">C3</f>
        <v>45848</v>
      </c>
      <c r="J3" s="8">
        <f t="shared" ref="J3:K8" si="2">I3</f>
        <v>45848</v>
      </c>
      <c r="K3" s="8">
        <f t="shared" si="2"/>
        <v>45848</v>
      </c>
      <c r="M3" s="8">
        <f t="shared" ref="M3:M8" si="3">B3</f>
        <v>45823</v>
      </c>
      <c r="N3" s="8">
        <f t="shared" ref="N3:N8" si="4">H3</f>
        <v>45839.3</v>
      </c>
      <c r="O3" s="8">
        <f t="shared" ref="O3:O8" si="5">D3</f>
        <v>45947</v>
      </c>
      <c r="P3" s="8">
        <f t="shared" ref="P3:P8" si="6">E3</f>
        <v>45966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45839.3</v>
      </c>
      <c r="I4" s="8">
        <f t="shared" si="1"/>
        <v>45848</v>
      </c>
      <c r="J4" s="8">
        <f t="shared" si="2"/>
        <v>45848</v>
      </c>
      <c r="K4" s="8">
        <f t="shared" si="2"/>
        <v>45848</v>
      </c>
      <c r="M4" s="8">
        <f t="shared" si="3"/>
        <v>45823</v>
      </c>
      <c r="N4" s="8">
        <f t="shared" si="4"/>
        <v>45839.3</v>
      </c>
      <c r="O4" s="8">
        <f t="shared" si="5"/>
        <v>45947</v>
      </c>
      <c r="P4" s="8">
        <f t="shared" si="6"/>
        <v>45966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 s="11">
        <v>13</v>
      </c>
      <c r="H5" s="8">
        <f>H6</f>
        <v>45840.3</v>
      </c>
      <c r="I5" s="8">
        <f>I6</f>
        <v>45849</v>
      </c>
      <c r="J5" s="8">
        <f>J6</f>
        <v>45849</v>
      </c>
      <c r="K5" s="8">
        <f>K6</f>
        <v>45849</v>
      </c>
      <c r="M5" s="8">
        <f>B5</f>
        <v>45823</v>
      </c>
      <c r="N5" s="8">
        <f>H5</f>
        <v>45840.3</v>
      </c>
      <c r="O5" s="8">
        <f>D5</f>
        <v>45954</v>
      </c>
      <c r="P5" s="8">
        <f>P6</f>
        <v>45966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C5-0.3*F6</f>
        <v>45840.3</v>
      </c>
      <c r="I6" s="8">
        <f>C5</f>
        <v>45849</v>
      </c>
      <c r="J6" s="8">
        <f t="shared" si="2"/>
        <v>45849</v>
      </c>
      <c r="K6" s="8">
        <f t="shared" si="2"/>
        <v>45849</v>
      </c>
      <c r="M6" s="8">
        <f t="shared" si="3"/>
        <v>45823</v>
      </c>
      <c r="N6" s="8">
        <f t="shared" si="4"/>
        <v>45840.3</v>
      </c>
      <c r="O6" s="8">
        <f t="shared" si="5"/>
        <v>45954</v>
      </c>
      <c r="P6" s="8">
        <f t="shared" si="6"/>
        <v>45966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 t="shared" si="0"/>
        <v>45840.3</v>
      </c>
      <c r="I7" s="8">
        <f t="shared" si="1"/>
        <v>45849</v>
      </c>
      <c r="J7" s="8">
        <f t="shared" si="2"/>
        <v>45849</v>
      </c>
      <c r="K7" s="8">
        <f t="shared" si="2"/>
        <v>45849</v>
      </c>
      <c r="M7" s="8">
        <f t="shared" si="3"/>
        <v>45823</v>
      </c>
      <c r="N7" s="8">
        <f t="shared" si="4"/>
        <v>45840.3</v>
      </c>
      <c r="O7" s="8">
        <f t="shared" si="5"/>
        <v>45948</v>
      </c>
      <c r="P7" s="8">
        <f t="shared" si="6"/>
        <v>45966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 t="shared" si="0"/>
        <v>45840.3</v>
      </c>
      <c r="I8" s="8">
        <f t="shared" si="1"/>
        <v>45849</v>
      </c>
      <c r="J8" s="8">
        <f t="shared" si="2"/>
        <v>45849</v>
      </c>
      <c r="K8" s="8">
        <f t="shared" si="2"/>
        <v>45849</v>
      </c>
      <c r="M8" s="8">
        <f t="shared" si="3"/>
        <v>45823</v>
      </c>
      <c r="N8" s="8">
        <f t="shared" si="4"/>
        <v>45840.3</v>
      </c>
      <c r="O8" s="8">
        <f t="shared" si="5"/>
        <v>45947</v>
      </c>
      <c r="P8" s="8">
        <f t="shared" si="6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2025-11-12T23:24:27Z</dcterms:modified>
</cp:coreProperties>
</file>