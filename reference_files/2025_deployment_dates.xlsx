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7C67C491-A160-48AD-B197-D3D14CBB6C2C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DatesAvailable" sheetId="1" r:id="rId1"/>
    <sheet name="Both" sheetId="2" r:id="rId2"/>
    <sheet name="Pr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2" i="3"/>
  <c r="H6" i="3"/>
  <c r="I6" i="3"/>
  <c r="N3" i="3"/>
  <c r="N4" i="3"/>
  <c r="N5" i="3"/>
  <c r="N7" i="3"/>
  <c r="N8" i="3"/>
  <c r="N2" i="3"/>
  <c r="H3" i="3"/>
  <c r="H4" i="3"/>
  <c r="H5" i="3"/>
  <c r="N6" i="3"/>
  <c r="H7" i="3"/>
  <c r="H8" i="3"/>
  <c r="H2" i="3"/>
  <c r="I3" i="3"/>
  <c r="I4" i="3"/>
  <c r="I5" i="3"/>
  <c r="I7" i="3"/>
  <c r="I8" i="3"/>
  <c r="I2" i="3"/>
  <c r="N3" i="2"/>
  <c r="N4" i="2"/>
  <c r="N5" i="2"/>
  <c r="N6" i="2"/>
  <c r="N7" i="2"/>
  <c r="N8" i="2"/>
  <c r="N2" i="2"/>
  <c r="H3" i="2"/>
  <c r="H4" i="2"/>
  <c r="H5" i="2"/>
  <c r="H6" i="2"/>
  <c r="H7" i="2"/>
  <c r="H8" i="2"/>
  <c r="I3" i="2"/>
  <c r="I4" i="2"/>
  <c r="I5" i="2"/>
  <c r="I6" i="2"/>
  <c r="I7" i="2"/>
  <c r="I8" i="2"/>
  <c r="H2" i="2"/>
  <c r="I2" i="2"/>
  <c r="J3" i="3"/>
  <c r="J4" i="3"/>
  <c r="J5" i="3"/>
  <c r="J6" i="3"/>
  <c r="J7" i="3"/>
  <c r="J8" i="3"/>
  <c r="J2" i="3"/>
  <c r="P3" i="3"/>
  <c r="P4" i="3"/>
  <c r="P5" i="3"/>
  <c r="P6" i="3"/>
  <c r="P7" i="3"/>
  <c r="P8" i="3"/>
  <c r="P2" i="3"/>
  <c r="O8" i="3"/>
  <c r="M8" i="3"/>
  <c r="G8" i="3"/>
  <c r="F8" i="3"/>
  <c r="O7" i="3"/>
  <c r="M7" i="3"/>
  <c r="G7" i="3"/>
  <c r="F7" i="3"/>
  <c r="O6" i="3"/>
  <c r="M6" i="3"/>
  <c r="G6" i="3"/>
  <c r="F6" i="3"/>
  <c r="F5" i="3" s="1"/>
  <c r="O5" i="3"/>
  <c r="M5" i="3"/>
  <c r="E5" i="3"/>
  <c r="D5" i="3"/>
  <c r="B5" i="3"/>
  <c r="O4" i="3"/>
  <c r="M4" i="3"/>
  <c r="G4" i="3"/>
  <c r="F4" i="3"/>
  <c r="O3" i="3"/>
  <c r="M3" i="3"/>
  <c r="G3" i="3"/>
  <c r="F3" i="3"/>
  <c r="O2" i="3"/>
  <c r="M2" i="3"/>
  <c r="G2" i="3"/>
  <c r="F2" i="3"/>
  <c r="P3" i="2"/>
  <c r="P4" i="2"/>
  <c r="P5" i="2"/>
  <c r="P6" i="2"/>
  <c r="P7" i="2"/>
  <c r="P8" i="2"/>
  <c r="P2" i="2"/>
  <c r="J3" i="2" l="1"/>
  <c r="K3" i="2" s="1"/>
  <c r="J4" i="2"/>
  <c r="K4" i="2" s="1"/>
  <c r="J6" i="2"/>
  <c r="J7" i="2"/>
  <c r="K7" i="2" s="1"/>
  <c r="J2" i="2"/>
  <c r="K2" i="2" s="1"/>
  <c r="O5" i="2"/>
  <c r="M5" i="2"/>
  <c r="E5" i="2"/>
  <c r="D5" i="2"/>
  <c r="B5" i="2"/>
  <c r="M3" i="2"/>
  <c r="M4" i="2"/>
  <c r="M6" i="2"/>
  <c r="M7" i="2"/>
  <c r="M8" i="2"/>
  <c r="M2" i="2"/>
  <c r="F3" i="2"/>
  <c r="F4" i="2"/>
  <c r="F6" i="2"/>
  <c r="F5" i="2" s="1"/>
  <c r="F7" i="2"/>
  <c r="F8" i="2"/>
  <c r="F2" i="2"/>
  <c r="O3" i="2"/>
  <c r="O4" i="2"/>
  <c r="O6" i="2"/>
  <c r="O7" i="2"/>
  <c r="O8" i="2"/>
  <c r="O2" i="2"/>
  <c r="J8" i="2"/>
  <c r="K8" i="2" s="1"/>
  <c r="G8" i="2"/>
  <c r="G7" i="2"/>
  <c r="G6" i="2"/>
  <c r="G4" i="2"/>
  <c r="G3" i="2"/>
  <c r="G2" i="2"/>
  <c r="K6" i="2" l="1"/>
  <c r="K5" i="2" s="1"/>
  <c r="J5" i="2"/>
</calcChain>
</file>

<file path=xl/sharedStrings.xml><?xml version="1.0" encoding="utf-8"?>
<sst xmlns="http://schemas.openxmlformats.org/spreadsheetml/2006/main" count="56" uniqueCount="33">
  <si>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</si>
  <si>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</si>
  <si>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</si>
  <si>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</si>
  <si>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</si>
  <si>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</si>
  <si>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</si>
  <si>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</si>
  <si>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</si>
  <si>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</si>
  <si>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</si>
  <si>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</si>
  <si>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</si>
  <si>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</si>
  <si>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</si>
  <si>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</si>
  <si>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</si>
  <si>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</si>
  <si>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</si>
  <si>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</si>
  <si>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</si>
  <si>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</si>
  <si>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</si>
  <si>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</si>
  <si>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</si>
  <si>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</si>
  <si>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</si>
  <si>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</si>
  <si>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</si>
  <si>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</si>
  <si>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</si>
  <si>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Avenal</t>
  </si>
  <si>
    <t>Coalinguita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</si>
</sst>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8"/>
  <sheetViews>
    <sheetView workbookViewId="0">
      <selection activeCell="N10" sqref="N10"/>
    </sheetView>
  </sheetViews>
  <sheetFormatPr defaultRowHeight="14.4" x14ac:dyDescent="0.3"/>
  <cols>
    <col min="2" max="3" width="9.5546875" bestFit="1" customWidth="1"/>
    <col min="4" max="5" width="10.5546875" bestFit="1" customWidth="1"/>
    <col min="7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I2-F2*0.2</f>
        <v>45862.400000000001</v>
      </c>
      <c r="I2" s="8">
        <f>C2</f>
        <v>45866</v>
      </c>
      <c r="J2" s="8">
        <f>I2</f>
        <v>45866</v>
      </c>
      <c r="K2" s="8">
        <f>J2</f>
        <v>45866</v>
      </c>
      <c r="M2" s="8">
        <f>B2</f>
        <v>45845</v>
      </c>
      <c r="N2" s="8">
        <f>H2</f>
        <v>45862.400000000001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 t="shared" ref="H3:H8" si="0">I3-F3*0.2</f>
        <v>45842.2</v>
      </c>
      <c r="I3" s="8">
        <f t="shared" ref="I3:I8" si="1">C3</f>
        <v>45848</v>
      </c>
      <c r="J3" s="8">
        <f t="shared" ref="J3:K8" si="2">I3</f>
        <v>45848</v>
      </c>
      <c r="K3" s="8">
        <f t="shared" si="2"/>
        <v>45848</v>
      </c>
      <c r="M3" s="8">
        <f t="shared" ref="M3:M8" si="3">B3</f>
        <v>45823</v>
      </c>
      <c r="N3" s="8">
        <f t="shared" ref="N3:N8" si="4">H3</f>
        <v>45842.2</v>
      </c>
      <c r="O3" s="8">
        <f t="shared" ref="O3:O8" si="5">D3</f>
        <v>45947</v>
      </c>
      <c r="P3" s="8">
        <f t="shared" ref="P3:P8" si="6">E3</f>
        <v>45966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si="0"/>
        <v>45842.2</v>
      </c>
      <c r="I4" s="8">
        <f t="shared" si="1"/>
        <v>45848</v>
      </c>
      <c r="J4" s="8">
        <f t="shared" si="2"/>
        <v>45848</v>
      </c>
      <c r="K4" s="8">
        <f t="shared" si="2"/>
        <v>45848</v>
      </c>
      <c r="M4" s="8">
        <f t="shared" si="3"/>
        <v>45823</v>
      </c>
      <c r="N4" s="8">
        <f t="shared" si="4"/>
        <v>45842.2</v>
      </c>
      <c r="O4" s="8">
        <f t="shared" si="5"/>
        <v>45947</v>
      </c>
      <c r="P4" s="8">
        <f t="shared" si="6"/>
        <v>45966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 t="shared" si="0"/>
        <v>45843.199999999997</v>
      </c>
      <c r="I5" s="8">
        <f t="shared" si="1"/>
        <v>45849</v>
      </c>
      <c r="J5" s="8">
        <f>J6</f>
        <v>45887</v>
      </c>
      <c r="K5" s="8">
        <f>K6</f>
        <v>45887</v>
      </c>
      <c r="M5" s="8">
        <f>B5</f>
        <v>45823</v>
      </c>
      <c r="N5" s="8">
        <f t="shared" si="4"/>
        <v>45843.199999999997</v>
      </c>
      <c r="O5" s="8">
        <f>D5</f>
        <v>45954</v>
      </c>
      <c r="P5" s="8">
        <f t="shared" si="6"/>
        <v>45966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 t="shared" si="0"/>
        <v>45881.2</v>
      </c>
      <c r="I6" s="8">
        <f t="shared" si="1"/>
        <v>45887</v>
      </c>
      <c r="J6" s="8">
        <f t="shared" si="2"/>
        <v>45887</v>
      </c>
      <c r="K6" s="8">
        <f t="shared" si="2"/>
        <v>45887</v>
      </c>
      <c r="M6" s="8">
        <f t="shared" si="3"/>
        <v>45823</v>
      </c>
      <c r="N6" s="8">
        <f t="shared" si="4"/>
        <v>45881.2</v>
      </c>
      <c r="O6" s="8">
        <f t="shared" si="5"/>
        <v>45954</v>
      </c>
      <c r="P6" s="8">
        <f t="shared" si="6"/>
        <v>45966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0"/>
        <v>45843.199999999997</v>
      </c>
      <c r="I7" s="8">
        <f t="shared" si="1"/>
        <v>45849</v>
      </c>
      <c r="J7" s="8">
        <f t="shared" si="2"/>
        <v>45849</v>
      </c>
      <c r="K7" s="8">
        <f t="shared" si="2"/>
        <v>45849</v>
      </c>
      <c r="M7" s="8">
        <f t="shared" si="3"/>
        <v>45823</v>
      </c>
      <c r="N7" s="8">
        <f t="shared" si="4"/>
        <v>45843.199999999997</v>
      </c>
      <c r="O7" s="8">
        <f t="shared" si="5"/>
        <v>45948</v>
      </c>
      <c r="P7" s="8">
        <f t="shared" si="6"/>
        <v>45966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0"/>
        <v>45843.199999999997</v>
      </c>
      <c r="I8" s="8">
        <f t="shared" si="1"/>
        <v>45849</v>
      </c>
      <c r="J8" s="8">
        <f t="shared" si="2"/>
        <v>45849</v>
      </c>
      <c r="K8" s="8">
        <f t="shared" si="2"/>
        <v>45849</v>
      </c>
      <c r="M8" s="8">
        <f t="shared" si="3"/>
        <v>45823</v>
      </c>
      <c r="N8" s="8">
        <f t="shared" si="4"/>
        <v>45843.199999999997</v>
      </c>
      <c r="O8" s="8">
        <f t="shared" si="5"/>
        <v>45947</v>
      </c>
      <c r="P8" s="8">
        <f t="shared" si="6"/>
        <v>45966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A824-4AEB-4C26-B9EE-F33461AD0AC5}">
  <dimension ref="A1:P8"/>
  <sheetViews>
    <sheetView tabSelected="1" workbookViewId="0">
      <selection activeCell="I10" sqref="I10"/>
    </sheetView>
  </sheetViews>
  <sheetFormatPr defaultRowHeight="14.4" x14ac:dyDescent="0.3"/>
  <cols>
    <col min="2" max="3" width="9.5546875" bestFit="1" customWidth="1"/>
    <col min="4" max="4" width="10.5546875" bestFit="1" customWidth="1"/>
    <col min="5" max="5" width="9.5546875" bestFit="1" customWidth="1"/>
    <col min="8" max="9" width="9.5546875" bestFit="1" customWidth="1"/>
    <col min="10" max="11" width="10.5546875" bestFit="1" customWidth="1"/>
    <col min="13" max="14" width="9.5546875" bestFit="1" customWidth="1"/>
    <col min="15" max="16" width="10.5546875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I2-0.2*F2</f>
        <v>45862.400000000001</v>
      </c>
      <c r="I2" s="8">
        <f>C2</f>
        <v>45866</v>
      </c>
      <c r="J2" s="8">
        <f>D2</f>
        <v>45947</v>
      </c>
      <c r="K2" s="8">
        <f>J2+F2*0.2</f>
        <v>45950.6</v>
      </c>
      <c r="M2" s="8">
        <f>B2</f>
        <v>45845</v>
      </c>
      <c r="N2" s="8">
        <f>H2</f>
        <v>45862.400000000001</v>
      </c>
      <c r="O2" s="8">
        <f>D2</f>
        <v>45947</v>
      </c>
      <c r="P2" s="8">
        <f>O2</f>
        <v>45947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 t="shared" ref="H3:H8" si="0">I3-0.2*F3</f>
        <v>45842.2</v>
      </c>
      <c r="I3" s="8">
        <f t="shared" ref="I3:I8" si="1">C3</f>
        <v>45848</v>
      </c>
      <c r="J3" s="8">
        <f t="shared" ref="J3:J8" si="2">D3</f>
        <v>45947</v>
      </c>
      <c r="K3" s="8">
        <f t="shared" ref="K3:K8" si="3">J3+F3*0.2</f>
        <v>45952.800000000003</v>
      </c>
      <c r="M3" s="8">
        <f t="shared" ref="M3:O8" si="4">B3</f>
        <v>45823</v>
      </c>
      <c r="N3" s="8">
        <f t="shared" ref="N3:N8" si="5">H3</f>
        <v>45842.2</v>
      </c>
      <c r="O3" s="8">
        <f t="shared" si="4"/>
        <v>45947</v>
      </c>
      <c r="P3" s="8">
        <f t="shared" ref="P3:P8" si="6">O3</f>
        <v>45947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si="0"/>
        <v>45842.2</v>
      </c>
      <c r="I4" s="8">
        <f t="shared" si="1"/>
        <v>45848</v>
      </c>
      <c r="J4" s="8">
        <f t="shared" si="2"/>
        <v>45947</v>
      </c>
      <c r="K4" s="8">
        <f t="shared" si="3"/>
        <v>45952.800000000003</v>
      </c>
      <c r="M4" s="8">
        <f t="shared" si="4"/>
        <v>45823</v>
      </c>
      <c r="N4" s="8">
        <f t="shared" si="5"/>
        <v>45842.2</v>
      </c>
      <c r="O4" s="8">
        <f t="shared" si="4"/>
        <v>45947</v>
      </c>
      <c r="P4" s="8">
        <f t="shared" si="6"/>
        <v>45947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 t="shared" si="0"/>
        <v>45843.199999999997</v>
      </c>
      <c r="I5" s="8">
        <f t="shared" si="1"/>
        <v>45849</v>
      </c>
      <c r="J5" s="8">
        <f t="shared" si="2"/>
        <v>45954</v>
      </c>
      <c r="K5" s="8">
        <f t="shared" si="3"/>
        <v>45959.8</v>
      </c>
      <c r="M5" s="8">
        <f>B5</f>
        <v>45823</v>
      </c>
      <c r="N5" s="8">
        <f t="shared" si="5"/>
        <v>45843.199999999997</v>
      </c>
      <c r="O5" s="8">
        <f>D5</f>
        <v>45954</v>
      </c>
      <c r="P5" s="8">
        <f t="shared" si="6"/>
        <v>45954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45843.199999999997</v>
      </c>
      <c r="I6" s="8">
        <f>I5</f>
        <v>45849</v>
      </c>
      <c r="J6" s="8">
        <f t="shared" si="2"/>
        <v>45954</v>
      </c>
      <c r="K6" s="8">
        <f t="shared" si="3"/>
        <v>45959.8</v>
      </c>
      <c r="M6" s="8">
        <f t="shared" si="4"/>
        <v>45823</v>
      </c>
      <c r="N6" s="8">
        <f t="shared" si="5"/>
        <v>45843.199999999997</v>
      </c>
      <c r="O6" s="8">
        <f t="shared" si="4"/>
        <v>45954</v>
      </c>
      <c r="P6" s="8">
        <f t="shared" si="6"/>
        <v>45954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0"/>
        <v>45843.199999999997</v>
      </c>
      <c r="I7" s="8">
        <f t="shared" si="1"/>
        <v>45849</v>
      </c>
      <c r="J7" s="8">
        <f t="shared" si="2"/>
        <v>45948</v>
      </c>
      <c r="K7" s="8">
        <f t="shared" si="3"/>
        <v>45953.8</v>
      </c>
      <c r="M7" s="8">
        <f t="shared" si="4"/>
        <v>45823</v>
      </c>
      <c r="N7" s="8">
        <f t="shared" si="5"/>
        <v>45843.199999999997</v>
      </c>
      <c r="O7" s="8">
        <f t="shared" si="4"/>
        <v>45948</v>
      </c>
      <c r="P7" s="8">
        <f t="shared" si="6"/>
        <v>45948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0"/>
        <v>45843.199999999997</v>
      </c>
      <c r="I8" s="8">
        <f t="shared" si="1"/>
        <v>45849</v>
      </c>
      <c r="J8" s="8">
        <f t="shared" si="2"/>
        <v>45947</v>
      </c>
      <c r="K8" s="8">
        <f t="shared" si="3"/>
        <v>45952.800000000003</v>
      </c>
      <c r="M8" s="8">
        <f t="shared" si="4"/>
        <v>45823</v>
      </c>
      <c r="N8" s="8">
        <f t="shared" si="5"/>
        <v>45843.199999999997</v>
      </c>
      <c r="O8" s="8">
        <f t="shared" si="4"/>
        <v>45947</v>
      </c>
      <c r="P8" s="8">
        <f t="shared" si="6"/>
        <v>45947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DatesAvailable</vt:lpstr>
      <vt:lpstr>Both</vt:lpstr>
      <vt:lpstr>Pre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2026-01-08T17:36:00Z</dcterms:modified>
</cp:coreProperties>
</file>